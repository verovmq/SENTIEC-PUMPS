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vas y Calcu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<sst xmlns="http://schemas.openxmlformats.org/spreadsheetml/2006/main" count="64" uniqueCount="56">
  <si>
    <t xml:space="preserve">CURVA CARACTERÍSTICA DE BOMBA CENTRÍFUGA (D = 738 mm)</t>
  </si>
  <si>
    <t xml:space="preserve">Digitalización, Calculadoras Interactivas y Puntos Dinámicos</t>
  </si>
  <si>
    <t xml:space="preserve">CALCULADORA 1: INGRESAR CAUDAL Q -&gt; CALCULA HEAD TEÓRICO Y COMPARA CON HEAD REAL</t>
  </si>
  <si>
    <t xml:space="preserve">Casilla</t>
  </si>
  <si>
    <t xml:space="preserve">Caudal Q (m³/h) [Entrada]</t>
  </si>
  <si>
    <t xml:space="preserve">Head Teórico H (m)</t>
  </si>
  <si>
    <t xml:space="preserve">Head Real H (m) [Entrada]</t>
  </si>
  <si>
    <t xml:space="preserve">Diferencia (m)</t>
  </si>
  <si>
    <t xml:space="preserve">Eficiencia Est. (%)</t>
  </si>
  <si>
    <t xml:space="preserve">NPSH3 Est. (m)</t>
  </si>
  <si>
    <t xml:space="preserve">Casilla 1</t>
  </si>
  <si>
    <t xml:space="preserve">Casilla 2</t>
  </si>
  <si>
    <t xml:space="preserve">Casilla 3</t>
  </si>
  <si>
    <t xml:space="preserve">CALCULADORA 2: INGRESAR HEAD H -&gt; CALCULA CAUDAL CORRESPONDIENTE Q</t>
  </si>
  <si>
    <t xml:space="preserve">Head H (m) [Entrada]</t>
  </si>
  <si>
    <t xml:space="preserve">Caudal Q Calculado (m³/h)</t>
  </si>
  <si>
    <t xml:space="preserve">TABLA DE DIGITALIZACIÓN DE CURVAS BASE</t>
  </si>
  <si>
    <t xml:space="preserve">Caudal Q (m³/h)</t>
  </si>
  <si>
    <t xml:space="preserve">Head 738mm H (m)</t>
  </si>
  <si>
    <t xml:space="preserve">Eficiencia η (%)</t>
  </si>
  <si>
    <t xml:space="preserve">NPSH3 (m)</t>
  </si>
  <si>
    <t xml:space="preserve">TABLA DE COORDENADAS PARA SERIES DE PUNTOS EN LA GRÁFICA</t>
  </si>
  <si>
    <t xml:space="preserve">Serie / Punto</t>
  </si>
  <si>
    <t xml:space="preserve">X (Q)</t>
  </si>
  <si>
    <t xml:space="preserve">Y (H)</t>
  </si>
  <si>
    <t xml:space="preserve">Descripción / Color</t>
  </si>
  <si>
    <t xml:space="preserve">Línea BEP V Start</t>
  </si>
  <si>
    <t xml:space="preserve">Guía Vertical BEP</t>
  </si>
  <si>
    <t xml:space="preserve">Línea BEP V End</t>
  </si>
  <si>
    <t xml:space="preserve">Línea BEP H Start</t>
  </si>
  <si>
    <t xml:space="preserve">Guía Horizontal BEP</t>
  </si>
  <si>
    <t xml:space="preserve">Línea BEP H End</t>
  </si>
  <si>
    <t xml:space="preserve">Punto BEP (2160, 170)</t>
  </si>
  <si>
    <t xml:space="preserve">Punto BEP - Rojo</t>
  </si>
  <si>
    <t xml:space="preserve">Bomba 1 (1925, 180)</t>
  </si>
  <si>
    <t xml:space="preserve">Bomba 1 - Azul Oscuro</t>
  </si>
  <si>
    <t xml:space="preserve">Bomba 2 (1950, 166)</t>
  </si>
  <si>
    <t xml:space="preserve">Bomba 2 - Azul Claro</t>
  </si>
  <si>
    <t xml:space="preserve">Calc1 C1 - H Teórico</t>
  </si>
  <si>
    <t xml:space="preserve">Caudal Calc 1 - Teórico (Amarillo)</t>
  </si>
  <si>
    <t xml:space="preserve">Calc1 C1 - H Real</t>
  </si>
  <si>
    <t xml:space="preserve">Caudal Calc 1 - Real (Naranja)</t>
  </si>
  <si>
    <t xml:space="preserve">Calc1 C2 - H Teórico</t>
  </si>
  <si>
    <t xml:space="preserve">Caudal Calc 2 - Teórico (Amarillo)</t>
  </si>
  <si>
    <t xml:space="preserve">Calc1 C2 - H Real</t>
  </si>
  <si>
    <t xml:space="preserve">Caudal Calc 2 - Real (Naranja)</t>
  </si>
  <si>
    <t xml:space="preserve">Calc1 C3 - H Teórico</t>
  </si>
  <si>
    <t xml:space="preserve">Caudal Calc 3 - Teórico (Amarillo)</t>
  </si>
  <si>
    <t xml:space="preserve">Calc1 C3 - H Real</t>
  </si>
  <si>
    <t xml:space="preserve">Caudal Calc 3 - Real (Naranja)</t>
  </si>
  <si>
    <t xml:space="preserve">Calc2 C1 - Q Inverso</t>
  </si>
  <si>
    <t xml:space="preserve">Head Calc 1 - Punto Inverso (Verde Oscuro)</t>
  </si>
  <si>
    <t xml:space="preserve">Calc2 C2 - Q Inverso</t>
  </si>
  <si>
    <t xml:space="preserve">Head Calc 2 - Punto Inverso (Verde Oscuro)</t>
  </si>
  <si>
    <t xml:space="preserve">Calc2 C3 - Q Inverso</t>
  </si>
  <si>
    <t xml:space="preserve">Head Calc 3 - Punto Inverso (Verde Oscuro)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</si>
</sst>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2"/>
      <color rgb="FF1F4E7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37562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ED7D31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Curva Característica de Bomba (738 mm), Eficiencia y Puntos de Operación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"Head (m) - 738 mm"</c:f>
              <c:strCache>
                <c:ptCount val="1"/>
                <c:pt idx="0">
                  <c:v>Head (m) - 738 mm</c:v>
                </c:pt>
              </c:strCache>
            </c:strRef>
          </c:tx>
          <c:spPr>
            <a:ln w="248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Calculo'!$A$18:$A$48</c:f>
              <c:numCache>
                <c:formatCode>#,##0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xVal>
          <c:yVal>
            <c:numRef>
              <c:f>'Curvas y Calculo'!$B$18:$B$48</c:f>
              <c:numCache>
                <c:formatCode>0.0</c:formatCode>
                <c:ptCount val="31"/>
                <c:pt idx="0">
                  <c:v>204.89</c:v>
                </c:pt>
                <c:pt idx="1">
                  <c:v>205.179563</c:v>
                </c:pt>
                <c:pt idx="2">
                  <c:v>205.275372</c:v>
                </c:pt>
                <c:pt idx="3">
                  <c:v>205.177427</c:v>
                </c:pt>
                <c:pt idx="4">
                  <c:v>204.885728</c:v>
                </c:pt>
                <c:pt idx="5">
                  <c:v>204.400275</c:v>
                </c:pt>
                <c:pt idx="6">
                  <c:v>203.721068</c:v>
                </c:pt>
                <c:pt idx="7">
                  <c:v>202.848107</c:v>
                </c:pt>
                <c:pt idx="8">
                  <c:v>201.781392</c:v>
                </c:pt>
                <c:pt idx="9">
                  <c:v>200.520923</c:v>
                </c:pt>
                <c:pt idx="10">
                  <c:v>199.0667</c:v>
                </c:pt>
                <c:pt idx="11">
                  <c:v>197.418723</c:v>
                </c:pt>
                <c:pt idx="12">
                  <c:v>195.576992</c:v>
                </c:pt>
                <c:pt idx="13">
                  <c:v>193.541507</c:v>
                </c:pt>
                <c:pt idx="14">
                  <c:v>191.312268</c:v>
                </c:pt>
                <c:pt idx="15">
                  <c:v>188.889275</c:v>
                </c:pt>
                <c:pt idx="16">
                  <c:v>186.272528</c:v>
                </c:pt>
                <c:pt idx="17">
                  <c:v>183.462027</c:v>
                </c:pt>
                <c:pt idx="18">
                  <c:v>180.457772</c:v>
                </c:pt>
                <c:pt idx="19">
                  <c:v>177.259763</c:v>
                </c:pt>
                <c:pt idx="20">
                  <c:v>173.868</c:v>
                </c:pt>
                <c:pt idx="21">
                  <c:v>170.282483</c:v>
                </c:pt>
                <c:pt idx="22">
                  <c:v>166.503212</c:v>
                </c:pt>
                <c:pt idx="23">
                  <c:v>162.530187</c:v>
                </c:pt>
                <c:pt idx="24">
                  <c:v>158.363408</c:v>
                </c:pt>
                <c:pt idx="25">
                  <c:v>154.002875</c:v>
                </c:pt>
                <c:pt idx="26">
                  <c:v>149.448588</c:v>
                </c:pt>
                <c:pt idx="27">
                  <c:v>144.700547</c:v>
                </c:pt>
                <c:pt idx="28">
                  <c:v>139.758752</c:v>
                </c:pt>
                <c:pt idx="29">
                  <c:v>134.623203</c:v>
                </c:pt>
                <c:pt idx="30">
                  <c:v>129.2939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"Guía Vert BEP"</c:f>
              <c:strCache>
                <c:ptCount val="1"/>
                <c:pt idx="0">
                  <c:v>Guía Vert BEP</c:v>
                </c:pt>
              </c:strCache>
            </c:strRef>
          </c:tx>
          <c:spPr>
            <a:ln w="1512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Calculo'!$B$52:$B$53</c:f>
              <c:numCache>
                <c:formatCode>#,##0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'Curvas y Calculo'!$C$52:$C$53</c:f>
              <c:numCache>
                <c:formatCode>0.0</c:formatCode>
                <c:ptCount val="2"/>
                <c:pt idx="0">
                  <c:v>0</c:v>
                </c:pt>
                <c:pt idx="1">
                  <c:v>170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"Guía Horiz BEP"</c:f>
              <c:strCache>
                <c:ptCount val="1"/>
                <c:pt idx="0">
                  <c:v>Guía Horiz BEP</c:v>
                </c:pt>
              </c:strCache>
            </c:strRef>
          </c:tx>
          <c:spPr>
            <a:ln w="1512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Calculo'!$B$54:$B$55</c:f>
              <c:numCache>
                <c:formatCode>#,##0</c:formatCode>
                <c:ptCount val="2"/>
                <c:pt idx="0">
                  <c:v>0</c:v>
                </c:pt>
                <c:pt idx="1">
                  <c:v>2160</c:v>
                </c:pt>
              </c:numCache>
            </c:numRef>
          </c:xVal>
          <c:yVal>
            <c:numRef>
              <c:f>'Curvas y Calculo'!$C$54:$C$55</c:f>
              <c:numCache>
                <c:formatCode>0.0</c:formatCode>
                <c:ptCount val="2"/>
                <c:pt idx="0">
                  <c:v>170</c:v>
                </c:pt>
                <c:pt idx="1">
                  <c:v>170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"BEP (2160, 170)"</c:f>
              <c:strCache>
                <c:ptCount val="1"/>
                <c:pt idx="0">
                  <c:v>BEP (2160, 170)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10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Calculo'!$B$56</c:f>
              <c:numCache>
                <c:formatCode>#,##0</c:formatCode>
                <c:ptCount val="1"/>
                <c:pt idx="0">
                  <c:v>2160</c:v>
                </c:pt>
              </c:numCache>
            </c:numRef>
          </c:xVal>
          <c:yVal>
            <c:numRef>
              <c:f>'Curvas y Calculo'!$C$56</c:f>
              <c:numCache>
                <c:formatCode>0.0</c:formatCode>
                <c:ptCount val="1"/>
                <c:pt idx="0">
                  <c:v>170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"Bomba 1 (1925, 180)"</c:f>
              <c:strCache>
                <c:ptCount val="1"/>
                <c:pt idx="0">
                  <c:v>Bomba 1 (1925, 180)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10"/>
            <c:spPr>
              <a:solidFill>
                <a:srgbClr val="00206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Calculo'!$B$57</c:f>
              <c:numCache>
                <c:formatCode>#,##0</c:formatCode>
                <c:ptCount val="1"/>
                <c:pt idx="0">
                  <c:v>1925</c:v>
                </c:pt>
              </c:numCache>
            </c:numRef>
          </c:xVal>
          <c:yVal>
            <c:numRef>
              <c:f>'Curvas y Calculo'!$C$57</c:f>
              <c:numCache>
                <c:formatCode>0.0</c:formatCode>
                <c:ptCount val="1"/>
                <c:pt idx="0">
                  <c:v>180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"Bomba 2 (1950, 166)"</c:f>
              <c:strCache>
                <c:ptCount val="1"/>
                <c:pt idx="0">
                  <c:v>Bomba 2 (1950, 166)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10"/>
            <c:spPr>
              <a:solidFill>
                <a:srgbClr val="00B0F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Calculo'!$B$58</c:f>
              <c:numCache>
                <c:formatCode>#,##0</c:formatCode>
                <c:ptCount val="1"/>
                <c:pt idx="0">
                  <c:v>1950</c:v>
                </c:pt>
              </c:numCache>
            </c:numRef>
          </c:xVal>
          <c:yVal>
            <c:numRef>
              <c:f>'Curvas y Calculo'!$C$58</c:f>
              <c:numCache>
                <c:formatCode>0.0</c:formatCode>
                <c:ptCount val="1"/>
                <c:pt idx="0">
                  <c:v>166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"Calc Q -&gt; H Teórico (Casilla 1)"</c:f>
              <c:strCache>
                <c:ptCount val="1"/>
                <c:pt idx="0">
                  <c:v>Calc Q -&gt; H Teórico (Casilla 1)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9"/>
            <c:spPr>
              <a:solidFill>
                <a:srgbClr val="FFD7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Calculo'!$B$59</c:f>
              <c:numCache>
                <c:formatCode>#,##0</c:formatCode>
                <c:ptCount val="1"/>
                <c:pt idx="0">
                  <c:v>250</c:v>
                </c:pt>
              </c:numCache>
            </c:numRef>
          </c:xVal>
          <c:yVal>
            <c:numRef>
              <c:f>'Curvas y Calculo'!$C$59</c:f>
              <c:numCache>
                <c:formatCode>0.0</c:formatCode>
                <c:ptCount val="1"/>
                <c:pt idx="0">
                  <c:v>205.25061875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"Calc Q -&gt; H Real (Casilla 1)"</c:f>
              <c:strCache>
                <c:ptCount val="1"/>
                <c:pt idx="0">
                  <c:v>Calc Q -&gt; H Real (Casilla 1)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9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Calculo'!$B$60</c:f>
              <c:numCache>
                <c:formatCode>#,##0</c:formatCode>
                <c:ptCount val="1"/>
                <c:pt idx="0">
                  <c:v>250</c:v>
                </c:pt>
              </c:numCache>
            </c:numRef>
          </c:xVal>
          <c:yVal>
            <c:numRef>
              <c:f>'Curvas y Calculo'!$C$60</c:f>
              <c:numCache>
                <c:formatCode>0.0</c:formatCode>
                <c:ptCount val="1"/>
                <c:pt idx="0">
                  <c:v>185</c:v>
                </c:pt>
              </c:numCache>
            </c:numRef>
          </c:yVal>
          <c:smooth val="1"/>
        </c:ser>
        <c:ser>
          <c:idx val="8"/>
          <c:order val="8"/>
          <c:spPr>
            <a:ln w="12600">
              <a:noFill/>
            </a:ln>
          </c:spPr>
          <c:marker>
            <c:symbol val="circle"/>
            <c:size val="9"/>
            <c:spPr>
              <a:solidFill>
                <a:srgbClr val="FFD7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Calculo'!$B$61</c:f>
              <c:numCache>
                <c:formatCode>#,##0</c:formatCode>
                <c:ptCount val="1"/>
                <c:pt idx="0">
                  <c:v>0</c:v>
                </c:pt>
              </c:numCache>
            </c:numRef>
          </c:xVal>
          <c:yVal>
            <c:numRef>
              <c:f>'Curvas y Calculo'!$C$61</c:f>
              <c:numCache>
                <c:formatCode>0.0</c:formatCode>
                <c:ptCount val="1"/>
                <c:pt idx="0">
                  <c:v>204.89</c:v>
                </c:pt>
              </c:numCache>
            </c:numRef>
          </c:yVal>
          <c:smooth val="1"/>
        </c:ser>
        <c:ser>
          <c:idx val="9"/>
          <c:order val="9"/>
          <c:spPr>
            <a:ln w="12600">
              <a:noFill/>
            </a:ln>
          </c:spPr>
          <c:marker>
            <c:symbol val="circle"/>
            <c:size val="9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Calculo'!$B$62</c:f>
              <c:numCache>
                <c:formatCode>#,##0</c:formatCode>
                <c:ptCount val="1"/>
                <c:pt idx="0">
                  <c:v>0</c:v>
                </c:pt>
              </c:numCache>
            </c:numRef>
          </c:xVal>
          <c:yVal>
            <c:numRef>
              <c:f>'Curvas y Calculo'!$C$62</c:f>
              <c:numCache>
                <c:formatCode>0.0</c:formatCode>
                <c:ptCount val="1"/>
                <c:pt idx="0">
                  <c:v>180</c:v>
                </c:pt>
              </c:numCache>
            </c:numRef>
          </c:yVal>
          <c:smooth val="1"/>
        </c:ser>
        <c:ser>
          <c:idx val="10"/>
          <c:order val="10"/>
          <c:spPr>
            <a:ln w="12600">
              <a:noFill/>
            </a:ln>
          </c:spPr>
          <c:marker>
            <c:symbol val="circle"/>
            <c:size val="9"/>
            <c:spPr>
              <a:solidFill>
                <a:srgbClr val="FFD7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Calculo'!$B$63</c:f>
              <c:numCache>
                <c:formatCode>#,##0</c:formatCode>
                <c:ptCount val="1"/>
                <c:pt idx="0">
                  <c:v>0</c:v>
                </c:pt>
              </c:numCache>
            </c:numRef>
          </c:xVal>
          <c:yVal>
            <c:numRef>
              <c:f>'Curvas y Calculo'!$C$63</c:f>
              <c:numCache>
                <c:formatCode>0.0</c:formatCode>
                <c:ptCount val="1"/>
                <c:pt idx="0">
                  <c:v>204.89</c:v>
                </c:pt>
              </c:numCache>
            </c:numRef>
          </c:yVal>
          <c:smooth val="1"/>
        </c:ser>
        <c:ser>
          <c:idx val="11"/>
          <c:order val="11"/>
          <c:spPr>
            <a:ln w="12600">
              <a:noFill/>
            </a:ln>
          </c:spPr>
          <c:marker>
            <c:symbol val="circle"/>
            <c:size val="9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Calculo'!$B$64</c:f>
              <c:numCache>
                <c:formatCode>#,##0</c:formatCode>
                <c:ptCount val="1"/>
                <c:pt idx="0">
                  <c:v>0</c:v>
                </c:pt>
              </c:numCache>
            </c:numRef>
          </c:xVal>
          <c:yVal>
            <c:numRef>
              <c:f>'Curvas y Calculo'!$C$64</c:f>
              <c:numCache>
                <c:formatCode>0.0</c:formatCode>
                <c:ptCount val="1"/>
                <c:pt idx="0">
                  <c:v>170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"Calc H -&gt; Q (Casilla 1)"</c:f>
              <c:strCache>
                <c:ptCount val="1"/>
                <c:pt idx="0">
                  <c:v>Calc H -&gt; Q (Casilla 1)</c:v>
                </c:pt>
              </c:strCache>
            </c:strRef>
          </c:tx>
          <c:spPr>
            <a:ln w="12600">
              <a:noFill/>
            </a:ln>
          </c:spPr>
          <c:marker>
            <c:symbol val="diamond"/>
            <c:size val="10"/>
            <c:spPr>
              <a:solidFill>
                <a:srgbClr val="375623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Calculo'!$B$65</c:f>
              <c:numCache>
                <c:formatCode>#,##0</c:formatCode>
                <c:ptCount val="1"/>
                <c:pt idx="0">
                  <c:v>4802.6301492743</c:v>
                </c:pt>
              </c:numCache>
            </c:numRef>
          </c:xVal>
          <c:yVal>
            <c:numRef>
              <c:f>'Curvas y Calculo'!$C$65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13"/>
          <c:order val="13"/>
          <c:spPr>
            <a:ln w="12600">
              <a:noFill/>
            </a:ln>
          </c:spPr>
          <c:marker>
            <c:symbol val="diamond"/>
            <c:size val="10"/>
            <c:spPr>
              <a:solidFill>
                <a:srgbClr val="375623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Calculo'!$B$66</c:f>
              <c:numCache>
                <c:formatCode>#,##0</c:formatCode>
                <c:ptCount val="1"/>
                <c:pt idx="0">
                  <c:v>4802.6301492743</c:v>
                </c:pt>
              </c:numCache>
            </c:numRef>
          </c:xVal>
          <c:yVal>
            <c:numRef>
              <c:f>'Curvas y Calculo'!$C$66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14"/>
          <c:order val="14"/>
          <c:spPr>
            <a:ln w="12600">
              <a:noFill/>
            </a:ln>
          </c:spPr>
          <c:marker>
            <c:symbol val="diamond"/>
            <c:size val="10"/>
            <c:spPr>
              <a:solidFill>
                <a:srgbClr val="375623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Calculo'!$B$67</c:f>
              <c:numCache>
                <c:formatCode>#,##0</c:formatCode>
                <c:ptCount val="1"/>
                <c:pt idx="0">
                  <c:v>4802.6301492743</c:v>
                </c:pt>
              </c:numCache>
            </c:numRef>
          </c:xVal>
          <c:yVal>
            <c:numRef>
              <c:f>'Curvas y Calculo'!$C$67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1"/>
        </c:ser>
        <c:axId val="11960534"/>
        <c:axId val="80859451"/>
      </c:scatterChart>
      <c:scatterChart>
        <c:scatterStyle val="lineMarker"/>
        <c:varyColors val="0"/>
        <c:ser>
          <c:idx val="15"/>
          <c:order val="15"/>
          <c:tx>
            <c:strRef>
              <c:f>"Eficiencia (%)"</c:f>
              <c:strCache>
                <c:ptCount val="1"/>
                <c:pt idx="0">
                  <c:v>Eficiencia (%)</c:v>
                </c:pt>
              </c:strCache>
            </c:strRef>
          </c:tx>
          <c:spPr>
            <a:ln w="20160">
              <a:solidFill>
                <a:srgbClr val="3399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Calculo'!$A$18:$A$48</c:f>
              <c:numCache>
                <c:formatCode>#,##0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xVal>
          <c:yVal>
            <c:numRef>
              <c:f>'Curvas y Calculo'!$C$18:$C$48</c:f>
              <c:numCache>
                <c:formatCode>0.0</c:formatCode>
                <c:ptCount val="31"/>
                <c:pt idx="4">
                  <c:v>46.034</c:v>
                </c:pt>
                <c:pt idx="5">
                  <c:v>50.8475</c:v>
                </c:pt>
                <c:pt idx="6">
                  <c:v>55.364</c:v>
                </c:pt>
                <c:pt idx="7">
                  <c:v>59.5835</c:v>
                </c:pt>
                <c:pt idx="8">
                  <c:v>63.506</c:v>
                </c:pt>
                <c:pt idx="9">
                  <c:v>67.1315</c:v>
                </c:pt>
                <c:pt idx="10">
                  <c:v>70.46</c:v>
                </c:pt>
                <c:pt idx="11">
                  <c:v>73.4915</c:v>
                </c:pt>
                <c:pt idx="12">
                  <c:v>76.226</c:v>
                </c:pt>
                <c:pt idx="13">
                  <c:v>78.6635</c:v>
                </c:pt>
                <c:pt idx="14">
                  <c:v>80.804</c:v>
                </c:pt>
                <c:pt idx="15">
                  <c:v>82.6475</c:v>
                </c:pt>
                <c:pt idx="16">
                  <c:v>84.194</c:v>
                </c:pt>
                <c:pt idx="17">
                  <c:v>85.4435</c:v>
                </c:pt>
                <c:pt idx="18">
                  <c:v>86.396</c:v>
                </c:pt>
                <c:pt idx="19">
                  <c:v>87.0515</c:v>
                </c:pt>
                <c:pt idx="20">
                  <c:v>87.41</c:v>
                </c:pt>
                <c:pt idx="21">
                  <c:v>87.4715</c:v>
                </c:pt>
                <c:pt idx="22">
                  <c:v>87.236</c:v>
                </c:pt>
                <c:pt idx="23">
                  <c:v>86.7035</c:v>
                </c:pt>
                <c:pt idx="24">
                  <c:v>85.874</c:v>
                </c:pt>
                <c:pt idx="25">
                  <c:v>84.7475</c:v>
                </c:pt>
                <c:pt idx="26">
                  <c:v>83.324</c:v>
                </c:pt>
                <c:pt idx="27">
                  <c:v>81.6035</c:v>
                </c:pt>
                <c:pt idx="28">
                  <c:v>79.586</c:v>
                </c:pt>
                <c:pt idx="29">
                  <c:v>77.2715</c:v>
                </c:pt>
                <c:pt idx="30">
                  <c:v>74.66</c:v>
                </c:pt>
              </c:numCache>
            </c:numRef>
          </c:yVal>
          <c:smooth val="1"/>
        </c:ser>
        <c:axId val="26207820"/>
        <c:axId val="22420855"/>
      </c:scatterChart>
      <c:valAx>
        <c:axId val="11960534"/>
        <c:scaling>
          <c:orientation val="minMax"/>
          <c:max val="30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Caudal - Capacity Q (m³/h)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859451"/>
        <c:crosses val="autoZero"/>
        <c:crossBetween val="midCat"/>
      </c:valAx>
      <c:valAx>
        <c:axId val="80859451"/>
        <c:scaling>
          <c:orientation val="minMax"/>
          <c:max val="25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Head - H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960534"/>
        <c:crosses val="autoZero"/>
        <c:crossBetween val="midCat"/>
      </c:valAx>
      <c:valAx>
        <c:axId val="26207820"/>
        <c:scaling>
          <c:orientation val="minMax"/>
          <c:max val="3000"/>
          <c:min val="0"/>
        </c:scaling>
        <c:delete val="0"/>
        <c:axPos val="t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Caudal - Capacity Q (m³/h)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420855"/>
        <c:crosses val="autoZero"/>
        <c:crossBetween val="midCat"/>
      </c:valAx>
      <c:valAx>
        <c:axId val="22420855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Efficiency -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207820"/>
        <c:crosses val="max"/>
        <c:crossBetween val="midCat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20</xdr:col>
      <xdr:colOff>581400</xdr:colOff>
      <xdr:row>31</xdr:row>
      <xdr:rowOff>65520</xdr:rowOff>
    </xdr:to>
    <xdr:graphicFrame>
      <xdr:nvGraphicFramePr>
        <xdr:cNvPr id="1" name="Chart 1"/>
        <xdr:cNvGraphicFramePr/>
      </xdr:nvGraphicFramePr>
      <xdr:xfrm>
        <a:off x="10831680" y="631080"/>
        <a:ext cx="791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22" activeCellId="0" sqref="E2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5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7" min="6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6" t="n">
        <v>250</v>
      </c>
      <c r="C6" s="7" t="n">
        <f aca="false">-0.0000096877*(B6^2) + 0.0038644*B6 + 204.89</f>
        <v>205.25061875</v>
      </c>
      <c r="D6" s="8" t="n">
        <v>185</v>
      </c>
      <c r="E6" s="9" t="n">
        <f aca="false">D6-C6</f>
        <v>-20.25061875</v>
      </c>
      <c r="F6" s="9" t="n">
        <f aca="false">-0.00001485*(B6^2) + 0.0615*B6 + 23.81</f>
        <v>38.256875</v>
      </c>
      <c r="G6" s="9" t="n">
        <f aca="false">0.00000318*(B6^2) - 0.00816*B6 + 9.71</f>
        <v>7.86875</v>
      </c>
    </row>
    <row r="7" customFormat="false" ht="15" hidden="false" customHeight="false" outlineLevel="0" collapsed="false">
      <c r="A7" s="5" t="s">
        <v>11</v>
      </c>
      <c r="B7" s="6"/>
      <c r="C7" s="7" t="n">
        <f aca="false">-0.0000096877*(B7^2) + 0.0038644*B7 + 204.89</f>
        <v>204.89</v>
      </c>
      <c r="D7" s="8" t="n">
        <v>180</v>
      </c>
      <c r="E7" s="9" t="n">
        <f aca="false">D7-C7</f>
        <v>-24.89</v>
      </c>
      <c r="F7" s="9" t="n">
        <f aca="false">-0.00001485*(B7^2) + 0.0615*B7 + 23.81</f>
        <v>23.81</v>
      </c>
      <c r="G7" s="9" t="n">
        <f aca="false">0.00000318*(B7^2) - 0.00816*B7 + 9.71</f>
        <v>9.71</v>
      </c>
    </row>
    <row r="8" customFormat="false" ht="15" hidden="false" customHeight="false" outlineLevel="0" collapsed="false">
      <c r="A8" s="5" t="s">
        <v>12</v>
      </c>
      <c r="B8" s="6"/>
      <c r="C8" s="7" t="n">
        <f aca="false">-0.0000096877*(B8^2) + 0.0038644*B8 + 204.89</f>
        <v>204.89</v>
      </c>
      <c r="D8" s="8" t="n">
        <v>170</v>
      </c>
      <c r="E8" s="9" t="n">
        <f aca="false">D8-C8</f>
        <v>-34.89</v>
      </c>
      <c r="F8" s="9" t="n">
        <f aca="false">-0.00001485*(B8^2) + 0.0615*B8 + 23.81</f>
        <v>23.81</v>
      </c>
      <c r="G8" s="9" t="n">
        <f aca="false">0.00000318*(B8^2) - 0.00816*B8 + 9.71</f>
        <v>9.71</v>
      </c>
    </row>
    <row r="10" customFormat="false" ht="15" hidden="false" customHeight="false" outlineLevel="0" collapsed="false">
      <c r="A10" s="3" t="s">
        <v>13</v>
      </c>
    </row>
    <row r="11" customFormat="false" ht="15" hidden="false" customHeight="false" outlineLevel="0" collapsed="false">
      <c r="A11" s="4" t="s">
        <v>3</v>
      </c>
      <c r="B11" s="4" t="s">
        <v>14</v>
      </c>
      <c r="C11" s="4" t="s">
        <v>15</v>
      </c>
      <c r="D11" s="4" t="s">
        <v>8</v>
      </c>
      <c r="E11" s="4" t="s">
        <v>9</v>
      </c>
    </row>
    <row r="12" customFormat="false" ht="15" hidden="false" customHeight="false" outlineLevel="0" collapsed="false">
      <c r="A12" s="5" t="s">
        <v>10</v>
      </c>
      <c r="B12" s="10"/>
      <c r="C12" s="11" t="n">
        <f aca="false">(-0.0038644 - SQRT((0.0038644^2) - 4*(-0.0000096877)*(204.89 - B12))) / (2*(-0.0000096877))</f>
        <v>4802.6301492743</v>
      </c>
      <c r="D12" s="9" t="n">
        <f aca="false">-0.00001485*(C12^2) + 0.0615*C12 + 23.81</f>
        <v>-23.3473026278002</v>
      </c>
      <c r="E12" s="9" t="n">
        <f aca="false">0.00000318*(C12^2) - 0.00816*C12 + 9.71</f>
        <v>43.8680531772065</v>
      </c>
    </row>
    <row r="13" customFormat="false" ht="15" hidden="false" customHeight="false" outlineLevel="0" collapsed="false">
      <c r="A13" s="5" t="s">
        <v>11</v>
      </c>
      <c r="B13" s="10"/>
      <c r="C13" s="11" t="n">
        <f aca="false">(-0.0038644 - SQRT((0.0038644^2) - 4*(-0.0000096877)*(204.89 - B13))) / (2*(-0.0000096877))</f>
        <v>4802.6301492743</v>
      </c>
      <c r="D13" s="9" t="n">
        <f aca="false">-0.00001485*(C13^2) + 0.0615*C13 + 23.81</f>
        <v>-23.3473026278002</v>
      </c>
      <c r="E13" s="9" t="n">
        <f aca="false">0.00000318*(C13^2) - 0.00816*C13 + 9.71</f>
        <v>43.8680531772065</v>
      </c>
    </row>
    <row r="14" customFormat="false" ht="15" hidden="false" customHeight="false" outlineLevel="0" collapsed="false">
      <c r="A14" s="5" t="s">
        <v>12</v>
      </c>
      <c r="B14" s="10"/>
      <c r="C14" s="11" t="n">
        <f aca="false">(-0.0038644 - SQRT((0.0038644^2) - 4*(-0.0000096877)*(204.89 - B14))) / (2*(-0.0000096877))</f>
        <v>4802.6301492743</v>
      </c>
      <c r="D14" s="9" t="n">
        <f aca="false">-0.00001485*(C14^2) + 0.0615*C14 + 23.81</f>
        <v>-23.3473026278002</v>
      </c>
      <c r="E14" s="9" t="n">
        <f aca="false">0.00000318*(C14^2) - 0.00816*C14 + 9.71</f>
        <v>43.8680531772065</v>
      </c>
    </row>
    <row r="16" customFormat="false" ht="15" hidden="false" customHeight="false" outlineLevel="0" collapsed="false">
      <c r="A16" s="3" t="s">
        <v>16</v>
      </c>
    </row>
    <row r="17" customFormat="false" ht="15" hidden="false" customHeight="false" outlineLevel="0" collapsed="false">
      <c r="A17" s="12" t="s">
        <v>17</v>
      </c>
      <c r="B17" s="12" t="s">
        <v>18</v>
      </c>
      <c r="C17" s="12" t="s">
        <v>19</v>
      </c>
      <c r="D17" s="12" t="s">
        <v>20</v>
      </c>
    </row>
    <row r="18" customFormat="false" ht="15" hidden="false" customHeight="false" outlineLevel="0" collapsed="false">
      <c r="A18" s="13" t="n">
        <v>0</v>
      </c>
      <c r="B18" s="14" t="n">
        <f aca="false">-0.0000096877*(A18^2) + 0.0038644*A18 + 204.89</f>
        <v>204.89</v>
      </c>
      <c r="C18" s="14" t="e">
        <f aca="false">IF(A18&gt;=400, -0.00001485*(A18^2) + 0.0615*A18 + 23.81, NA())</f>
        <v>#N/A</v>
      </c>
      <c r="D18" s="14" t="e">
        <f aca="false">IF(A18&gt;=800, 0.00000318*(A18^2) - 0.00816*A18 + 9.71, NA())</f>
        <v>#N/A</v>
      </c>
    </row>
    <row r="19" customFormat="false" ht="15" hidden="false" customHeight="false" outlineLevel="0" collapsed="false">
      <c r="A19" s="13" t="n">
        <v>100</v>
      </c>
      <c r="B19" s="14" t="n">
        <f aca="false">-0.0000096877*(A19^2) + 0.0038644*A19 + 204.89</f>
        <v>205.179563</v>
      </c>
      <c r="C19" s="14" t="e">
        <f aca="false">IF(A19&gt;=400, -0.00001485*(A19^2) + 0.0615*A19 + 23.81, NA())</f>
        <v>#N/A</v>
      </c>
      <c r="D19" s="14" t="e">
        <f aca="false">IF(A19&gt;=800, 0.00000318*(A19^2) - 0.00816*A19 + 9.71, NA())</f>
        <v>#N/A</v>
      </c>
    </row>
    <row r="20" customFormat="false" ht="15" hidden="false" customHeight="false" outlineLevel="0" collapsed="false">
      <c r="A20" s="13" t="n">
        <v>200</v>
      </c>
      <c r="B20" s="14" t="n">
        <f aca="false">-0.0000096877*(A20^2) + 0.0038644*A20 + 204.89</f>
        <v>205.275372</v>
      </c>
      <c r="C20" s="14" t="e">
        <f aca="false">IF(A20&gt;=400, -0.00001485*(A20^2) + 0.0615*A20 + 23.81, NA())</f>
        <v>#N/A</v>
      </c>
      <c r="D20" s="14" t="e">
        <f aca="false">IF(A20&gt;=800, 0.00000318*(A20^2) - 0.00816*A20 + 9.71, NA())</f>
        <v>#N/A</v>
      </c>
    </row>
    <row r="21" customFormat="false" ht="15" hidden="false" customHeight="false" outlineLevel="0" collapsed="false">
      <c r="A21" s="13" t="n">
        <v>300</v>
      </c>
      <c r="B21" s="14" t="n">
        <f aca="false">-0.0000096877*(A21^2) + 0.0038644*A21 + 204.89</f>
        <v>205.177427</v>
      </c>
      <c r="C21" s="14" t="e">
        <f aca="false">IF(A21&gt;=400, -0.00001485*(A21^2) + 0.0615*A21 + 23.81, NA())</f>
        <v>#N/A</v>
      </c>
      <c r="D21" s="14" t="e">
        <f aca="false">IF(A21&gt;=800, 0.00000318*(A21^2) - 0.00816*A21 + 9.71, NA())</f>
        <v>#N/A</v>
      </c>
    </row>
    <row r="22" customFormat="false" ht="15" hidden="false" customHeight="false" outlineLevel="0" collapsed="false">
      <c r="A22" s="13" t="n">
        <v>400</v>
      </c>
      <c r="B22" s="14" t="n">
        <f aca="false">-0.0000096877*(A22^2) + 0.0038644*A22 + 204.89</f>
        <v>204.885728</v>
      </c>
      <c r="C22" s="14" t="n">
        <f aca="false">IF(A22&gt;=400, -0.00001485*(A22^2) + 0.0615*A22 + 23.81, NA())</f>
        <v>46.034</v>
      </c>
      <c r="D22" s="14" t="e">
        <f aca="false">IF(A22&gt;=800, 0.00000318*(A22^2) - 0.00816*A22 + 9.71, NA())</f>
        <v>#N/A</v>
      </c>
    </row>
    <row r="23" customFormat="false" ht="15" hidden="false" customHeight="false" outlineLevel="0" collapsed="false">
      <c r="A23" s="13" t="n">
        <v>500</v>
      </c>
      <c r="B23" s="14" t="n">
        <f aca="false">-0.0000096877*(A23^2) + 0.0038644*A23 + 204.89</f>
        <v>204.400275</v>
      </c>
      <c r="C23" s="14" t="n">
        <f aca="false">IF(A23&gt;=400, -0.00001485*(A23^2) + 0.0615*A23 + 23.81, NA())</f>
        <v>50.8475</v>
      </c>
      <c r="D23" s="14" t="e">
        <f aca="false">IF(A23&gt;=800, 0.00000318*(A23^2) - 0.00816*A23 + 9.71, NA())</f>
        <v>#N/A</v>
      </c>
    </row>
    <row r="24" customFormat="false" ht="15" hidden="false" customHeight="false" outlineLevel="0" collapsed="false">
      <c r="A24" s="13" t="n">
        <v>600</v>
      </c>
      <c r="B24" s="14" t="n">
        <f aca="false">-0.0000096877*(A24^2) + 0.0038644*A24 + 204.89</f>
        <v>203.721068</v>
      </c>
      <c r="C24" s="14" t="n">
        <f aca="false">IF(A24&gt;=400, -0.00001485*(A24^2) + 0.0615*A24 + 23.81, NA())</f>
        <v>55.364</v>
      </c>
      <c r="D24" s="14" t="e">
        <f aca="false">IF(A24&gt;=800, 0.00000318*(A24^2) - 0.00816*A24 + 9.71, NA())</f>
        <v>#N/A</v>
      </c>
    </row>
    <row r="25" customFormat="false" ht="15" hidden="false" customHeight="false" outlineLevel="0" collapsed="false">
      <c r="A25" s="13" t="n">
        <v>700</v>
      </c>
      <c r="B25" s="14" t="n">
        <f aca="false">-0.0000096877*(A25^2) + 0.0038644*A25 + 204.89</f>
        <v>202.848107</v>
      </c>
      <c r="C25" s="14" t="n">
        <f aca="false">IF(A25&gt;=400, -0.00001485*(A25^2) + 0.0615*A25 + 23.81, NA())</f>
        <v>59.5835</v>
      </c>
      <c r="D25" s="14" t="e">
        <f aca="false">IF(A25&gt;=800, 0.00000318*(A25^2) - 0.00816*A25 + 9.71, NA())</f>
        <v>#N/A</v>
      </c>
    </row>
    <row r="26" customFormat="false" ht="15" hidden="false" customHeight="false" outlineLevel="0" collapsed="false">
      <c r="A26" s="13" t="n">
        <v>800</v>
      </c>
      <c r="B26" s="14" t="n">
        <f aca="false">-0.0000096877*(A26^2) + 0.0038644*A26 + 204.89</f>
        <v>201.781392</v>
      </c>
      <c r="C26" s="14" t="n">
        <f aca="false">IF(A26&gt;=400, -0.00001485*(A26^2) + 0.0615*A26 + 23.81, NA())</f>
        <v>63.506</v>
      </c>
      <c r="D26" s="14" t="n">
        <f aca="false">IF(A26&gt;=800, 0.00000318*(A26^2) - 0.00816*A26 + 9.71, NA())</f>
        <v>5.2172</v>
      </c>
    </row>
    <row r="27" customFormat="false" ht="15" hidden="false" customHeight="false" outlineLevel="0" collapsed="false">
      <c r="A27" s="13" t="n">
        <v>900</v>
      </c>
      <c r="B27" s="14" t="n">
        <f aca="false">-0.0000096877*(A27^2) + 0.0038644*A27 + 204.89</f>
        <v>200.520923</v>
      </c>
      <c r="C27" s="14" t="n">
        <f aca="false">IF(A27&gt;=400, -0.00001485*(A27^2) + 0.0615*A27 + 23.81, NA())</f>
        <v>67.1315</v>
      </c>
      <c r="D27" s="14" t="n">
        <f aca="false">IF(A27&gt;=800, 0.00000318*(A27^2) - 0.00816*A27 + 9.71, NA())</f>
        <v>4.9418</v>
      </c>
    </row>
    <row r="28" customFormat="false" ht="15" hidden="false" customHeight="false" outlineLevel="0" collapsed="false">
      <c r="A28" s="13" t="n">
        <v>1000</v>
      </c>
      <c r="B28" s="14" t="n">
        <f aca="false">-0.0000096877*(A28^2) + 0.0038644*A28 + 204.89</f>
        <v>199.0667</v>
      </c>
      <c r="C28" s="14" t="n">
        <f aca="false">IF(A28&gt;=400, -0.00001485*(A28^2) + 0.0615*A28 + 23.81, NA())</f>
        <v>70.46</v>
      </c>
      <c r="D28" s="14" t="n">
        <f aca="false">IF(A28&gt;=800, 0.00000318*(A28^2) - 0.00816*A28 + 9.71, NA())</f>
        <v>4.73</v>
      </c>
    </row>
    <row r="29" customFormat="false" ht="15" hidden="false" customHeight="false" outlineLevel="0" collapsed="false">
      <c r="A29" s="13" t="n">
        <v>1100</v>
      </c>
      <c r="B29" s="14" t="n">
        <f aca="false">-0.0000096877*(A29^2) + 0.0038644*A29 + 204.89</f>
        <v>197.418723</v>
      </c>
      <c r="C29" s="14" t="n">
        <f aca="false">IF(A29&gt;=400, -0.00001485*(A29^2) + 0.0615*A29 + 23.81, NA())</f>
        <v>73.4915</v>
      </c>
      <c r="D29" s="14" t="n">
        <f aca="false">IF(A29&gt;=800, 0.00000318*(A29^2) - 0.00816*A29 + 9.71, NA())</f>
        <v>4.5818</v>
      </c>
    </row>
    <row r="30" customFormat="false" ht="15" hidden="false" customHeight="false" outlineLevel="0" collapsed="false">
      <c r="A30" s="13" t="n">
        <v>1200</v>
      </c>
      <c r="B30" s="14" t="n">
        <f aca="false">-0.0000096877*(A30^2) + 0.0038644*A30 + 204.89</f>
        <v>195.576992</v>
      </c>
      <c r="C30" s="14" t="n">
        <f aca="false">IF(A30&gt;=400, -0.00001485*(A30^2) + 0.0615*A30 + 23.81, NA())</f>
        <v>76.226</v>
      </c>
      <c r="D30" s="14" t="n">
        <f aca="false">IF(A30&gt;=800, 0.00000318*(A30^2) - 0.00816*A30 + 9.71, NA())</f>
        <v>4.4972</v>
      </c>
    </row>
    <row r="31" customFormat="false" ht="15" hidden="false" customHeight="false" outlineLevel="0" collapsed="false">
      <c r="A31" s="13" t="n">
        <v>1300</v>
      </c>
      <c r="B31" s="14" t="n">
        <f aca="false">-0.0000096877*(A31^2) + 0.0038644*A31 + 204.89</f>
        <v>193.541507</v>
      </c>
      <c r="C31" s="14" t="n">
        <f aca="false">IF(A31&gt;=400, -0.00001485*(A31^2) + 0.0615*A31 + 23.81, NA())</f>
        <v>78.6635</v>
      </c>
      <c r="D31" s="14" t="n">
        <f aca="false">IF(A31&gt;=800, 0.00000318*(A31^2) - 0.00816*A31 + 9.71, NA())</f>
        <v>4.4762</v>
      </c>
    </row>
    <row r="32" customFormat="false" ht="15" hidden="false" customHeight="false" outlineLevel="0" collapsed="false">
      <c r="A32" s="13" t="n">
        <v>1400</v>
      </c>
      <c r="B32" s="14" t="n">
        <f aca="false">-0.0000096877*(A32^2) + 0.0038644*A32 + 204.89</f>
        <v>191.312268</v>
      </c>
      <c r="C32" s="14" t="n">
        <f aca="false">IF(A32&gt;=400, -0.00001485*(A32^2) + 0.0615*A32 + 23.81, NA())</f>
        <v>80.804</v>
      </c>
      <c r="D32" s="14" t="n">
        <f aca="false">IF(A32&gt;=800, 0.00000318*(A32^2) - 0.00816*A32 + 9.71, NA())</f>
        <v>4.5188</v>
      </c>
    </row>
    <row r="33" customFormat="false" ht="15" hidden="false" customHeight="false" outlineLevel="0" collapsed="false">
      <c r="A33" s="13" t="n">
        <v>1500</v>
      </c>
      <c r="B33" s="14" t="n">
        <f aca="false">-0.0000096877*(A33^2) + 0.0038644*A33 + 204.89</f>
        <v>188.889275</v>
      </c>
      <c r="C33" s="14" t="n">
        <f aca="false">IF(A33&gt;=400, -0.00001485*(A33^2) + 0.0615*A33 + 23.81, NA())</f>
        <v>82.6475</v>
      </c>
      <c r="D33" s="14" t="n">
        <f aca="false">IF(A33&gt;=800, 0.00000318*(A33^2) - 0.00816*A33 + 9.71, NA())</f>
        <v>4.625</v>
      </c>
    </row>
    <row r="34" customFormat="false" ht="15" hidden="false" customHeight="false" outlineLevel="0" collapsed="false">
      <c r="A34" s="13" t="n">
        <v>1600</v>
      </c>
      <c r="B34" s="14" t="n">
        <f aca="false">-0.0000096877*(A34^2) + 0.0038644*A34 + 204.89</f>
        <v>186.272528</v>
      </c>
      <c r="C34" s="14" t="n">
        <f aca="false">IF(A34&gt;=400, -0.00001485*(A34^2) + 0.0615*A34 + 23.81, NA())</f>
        <v>84.194</v>
      </c>
      <c r="D34" s="14" t="n">
        <f aca="false">IF(A34&gt;=800, 0.00000318*(A34^2) - 0.00816*A34 + 9.71, NA())</f>
        <v>4.7948</v>
      </c>
    </row>
    <row r="35" customFormat="false" ht="15" hidden="false" customHeight="false" outlineLevel="0" collapsed="false">
      <c r="A35" s="13" t="n">
        <v>1700</v>
      </c>
      <c r="B35" s="14" t="n">
        <f aca="false">-0.0000096877*(A35^2) + 0.0038644*A35 + 204.89</f>
        <v>183.462027</v>
      </c>
      <c r="C35" s="14" t="n">
        <f aca="false">IF(A35&gt;=400, -0.00001485*(A35^2) + 0.0615*A35 + 23.81, NA())</f>
        <v>85.4435</v>
      </c>
      <c r="D35" s="14" t="n">
        <f aca="false">IF(A35&gt;=800, 0.00000318*(A35^2) - 0.00816*A35 + 9.71, NA())</f>
        <v>5.0282</v>
      </c>
    </row>
    <row r="36" customFormat="false" ht="15" hidden="false" customHeight="false" outlineLevel="0" collapsed="false">
      <c r="A36" s="13" t="n">
        <v>1800</v>
      </c>
      <c r="B36" s="14" t="n">
        <f aca="false">-0.0000096877*(A36^2) + 0.0038644*A36 + 204.89</f>
        <v>180.457772</v>
      </c>
      <c r="C36" s="14" t="n">
        <f aca="false">IF(A36&gt;=400, -0.00001485*(A36^2) + 0.0615*A36 + 23.81, NA())</f>
        <v>86.396</v>
      </c>
      <c r="D36" s="14" t="n">
        <f aca="false">IF(A36&gt;=800, 0.00000318*(A36^2) - 0.00816*A36 + 9.71, NA())</f>
        <v>5.3252</v>
      </c>
    </row>
    <row r="37" customFormat="false" ht="15" hidden="false" customHeight="false" outlineLevel="0" collapsed="false">
      <c r="A37" s="13" t="n">
        <v>1900</v>
      </c>
      <c r="B37" s="14" t="n">
        <f aca="false">-0.0000096877*(A37^2) + 0.0038644*A37 + 204.89</f>
        <v>177.259763</v>
      </c>
      <c r="C37" s="14" t="n">
        <f aca="false">IF(A37&gt;=400, -0.00001485*(A37^2) + 0.0615*A37 + 23.81, NA())</f>
        <v>87.0515</v>
      </c>
      <c r="D37" s="14" t="n">
        <f aca="false">IF(A37&gt;=800, 0.00000318*(A37^2) - 0.00816*A37 + 9.71, NA())</f>
        <v>5.6858</v>
      </c>
    </row>
    <row r="38" customFormat="false" ht="15" hidden="false" customHeight="false" outlineLevel="0" collapsed="false">
      <c r="A38" s="13" t="n">
        <v>2000</v>
      </c>
      <c r="B38" s="14" t="n">
        <f aca="false">-0.0000096877*(A38^2) + 0.0038644*A38 + 204.89</f>
        <v>173.868</v>
      </c>
      <c r="C38" s="14" t="n">
        <f aca="false">IF(A38&gt;=400, -0.00001485*(A38^2) + 0.0615*A38 + 23.81, NA())</f>
        <v>87.41</v>
      </c>
      <c r="D38" s="14" t="n">
        <f aca="false">IF(A38&gt;=800, 0.00000318*(A38^2) - 0.00816*A38 + 9.71, NA())</f>
        <v>6.11</v>
      </c>
    </row>
    <row r="39" customFormat="false" ht="15" hidden="false" customHeight="false" outlineLevel="0" collapsed="false">
      <c r="A39" s="13" t="n">
        <v>2100</v>
      </c>
      <c r="B39" s="14" t="n">
        <f aca="false">-0.0000096877*(A39^2) + 0.0038644*A39 + 204.89</f>
        <v>170.282483</v>
      </c>
      <c r="C39" s="14" t="n">
        <f aca="false">IF(A39&gt;=400, -0.00001485*(A39^2) + 0.0615*A39 + 23.81, NA())</f>
        <v>87.4715</v>
      </c>
      <c r="D39" s="14" t="n">
        <f aca="false">IF(A39&gt;=800, 0.00000318*(A39^2) - 0.00816*A39 + 9.71, NA())</f>
        <v>6.5978</v>
      </c>
    </row>
    <row r="40" customFormat="false" ht="15" hidden="false" customHeight="false" outlineLevel="0" collapsed="false">
      <c r="A40" s="13" t="n">
        <v>2200</v>
      </c>
      <c r="B40" s="14" t="n">
        <f aca="false">-0.0000096877*(A40^2) + 0.0038644*A40 + 204.89</f>
        <v>166.503212</v>
      </c>
      <c r="C40" s="14" t="n">
        <f aca="false">IF(A40&gt;=400, -0.00001485*(A40^2) + 0.0615*A40 + 23.81, NA())</f>
        <v>87.236</v>
      </c>
      <c r="D40" s="14" t="n">
        <f aca="false">IF(A40&gt;=800, 0.00000318*(A40^2) - 0.00816*A40 + 9.71, NA())</f>
        <v>7.1492</v>
      </c>
    </row>
    <row r="41" customFormat="false" ht="15" hidden="false" customHeight="false" outlineLevel="0" collapsed="false">
      <c r="A41" s="13" t="n">
        <v>2300</v>
      </c>
      <c r="B41" s="14" t="n">
        <f aca="false">-0.0000096877*(A41^2) + 0.0038644*A41 + 204.89</f>
        <v>162.530187</v>
      </c>
      <c r="C41" s="14" t="n">
        <f aca="false">IF(A41&gt;=400, -0.00001485*(A41^2) + 0.0615*A41 + 23.81, NA())</f>
        <v>86.7035</v>
      </c>
      <c r="D41" s="14" t="n">
        <f aca="false">IF(A41&gt;=800, 0.00000318*(A41^2) - 0.00816*A41 + 9.71, NA())</f>
        <v>7.7642</v>
      </c>
    </row>
    <row r="42" customFormat="false" ht="15" hidden="false" customHeight="false" outlineLevel="0" collapsed="false">
      <c r="A42" s="13" t="n">
        <v>2400</v>
      </c>
      <c r="B42" s="14" t="n">
        <f aca="false">-0.0000096877*(A42^2) + 0.0038644*A42 + 204.89</f>
        <v>158.363408</v>
      </c>
      <c r="C42" s="14" t="n">
        <f aca="false">IF(A42&gt;=400, -0.00001485*(A42^2) + 0.0615*A42 + 23.81, NA())</f>
        <v>85.874</v>
      </c>
      <c r="D42" s="14" t="n">
        <f aca="false">IF(A42&gt;=800, 0.00000318*(A42^2) - 0.00816*A42 + 9.71, NA())</f>
        <v>8.4428</v>
      </c>
    </row>
    <row r="43" customFormat="false" ht="15" hidden="false" customHeight="false" outlineLevel="0" collapsed="false">
      <c r="A43" s="13" t="n">
        <v>2500</v>
      </c>
      <c r="B43" s="14" t="n">
        <f aca="false">-0.0000096877*(A43^2) + 0.0038644*A43 + 204.89</f>
        <v>154.002875</v>
      </c>
      <c r="C43" s="14" t="n">
        <f aca="false">IF(A43&gt;=400, -0.00001485*(A43^2) + 0.0615*A43 + 23.81, NA())</f>
        <v>84.7475</v>
      </c>
      <c r="D43" s="14" t="n">
        <f aca="false">IF(A43&gt;=800, 0.00000318*(A43^2) - 0.00816*A43 + 9.71, NA())</f>
        <v>9.185</v>
      </c>
    </row>
    <row r="44" customFormat="false" ht="15" hidden="false" customHeight="false" outlineLevel="0" collapsed="false">
      <c r="A44" s="13" t="n">
        <v>2600</v>
      </c>
      <c r="B44" s="14" t="n">
        <f aca="false">-0.0000096877*(A44^2) + 0.0038644*A44 + 204.89</f>
        <v>149.448588</v>
      </c>
      <c r="C44" s="14" t="n">
        <f aca="false">IF(A44&gt;=400, -0.00001485*(A44^2) + 0.0615*A44 + 23.81, NA())</f>
        <v>83.324</v>
      </c>
      <c r="D44" s="14" t="n">
        <f aca="false">IF(A44&gt;=800, 0.00000318*(A44^2) - 0.00816*A44 + 9.71, NA())</f>
        <v>9.9908</v>
      </c>
    </row>
    <row r="45" customFormat="false" ht="15" hidden="false" customHeight="false" outlineLevel="0" collapsed="false">
      <c r="A45" s="13" t="n">
        <v>2700</v>
      </c>
      <c r="B45" s="14" t="n">
        <f aca="false">-0.0000096877*(A45^2) + 0.0038644*A45 + 204.89</f>
        <v>144.700547</v>
      </c>
      <c r="C45" s="14" t="n">
        <f aca="false">IF(A45&gt;=400, -0.00001485*(A45^2) + 0.0615*A45 + 23.81, NA())</f>
        <v>81.6035</v>
      </c>
      <c r="D45" s="14" t="n">
        <f aca="false">IF(A45&gt;=800, 0.00000318*(A45^2) - 0.00816*A45 + 9.71, NA())</f>
        <v>10.8602</v>
      </c>
    </row>
    <row r="46" customFormat="false" ht="15" hidden="false" customHeight="false" outlineLevel="0" collapsed="false">
      <c r="A46" s="13" t="n">
        <v>2800</v>
      </c>
      <c r="B46" s="14" t="n">
        <f aca="false">-0.0000096877*(A46^2) + 0.0038644*A46 + 204.89</f>
        <v>139.758752</v>
      </c>
      <c r="C46" s="14" t="n">
        <f aca="false">IF(A46&gt;=400, -0.00001485*(A46^2) + 0.0615*A46 + 23.81, NA())</f>
        <v>79.586</v>
      </c>
      <c r="D46" s="14" t="n">
        <f aca="false">IF(A46&gt;=800, 0.00000318*(A46^2) - 0.00816*A46 + 9.71, NA())</f>
        <v>11.7932</v>
      </c>
    </row>
    <row r="47" customFormat="false" ht="15" hidden="false" customHeight="false" outlineLevel="0" collapsed="false">
      <c r="A47" s="13" t="n">
        <v>2900</v>
      </c>
      <c r="B47" s="14" t="n">
        <f aca="false">-0.0000096877*(A47^2) + 0.0038644*A47 + 204.89</f>
        <v>134.623203</v>
      </c>
      <c r="C47" s="14" t="n">
        <f aca="false">IF(A47&gt;=400, -0.00001485*(A47^2) + 0.0615*A47 + 23.81, NA())</f>
        <v>77.2715</v>
      </c>
      <c r="D47" s="14" t="n">
        <f aca="false">IF(A47&gt;=800, 0.00000318*(A47^2) - 0.00816*A47 + 9.71, NA())</f>
        <v>12.7898</v>
      </c>
    </row>
    <row r="48" customFormat="false" ht="15" hidden="false" customHeight="false" outlineLevel="0" collapsed="false">
      <c r="A48" s="13" t="n">
        <v>3000</v>
      </c>
      <c r="B48" s="14" t="n">
        <f aca="false">-0.0000096877*(A48^2) + 0.0038644*A48 + 204.89</f>
        <v>129.2939</v>
      </c>
      <c r="C48" s="14" t="n">
        <f aca="false">IF(A48&gt;=400, -0.00001485*(A48^2) + 0.0615*A48 + 23.81, NA())</f>
        <v>74.66</v>
      </c>
      <c r="D48" s="14" t="n">
        <f aca="false">IF(A48&gt;=800, 0.00000318*(A48^2) - 0.00816*A48 + 9.71, NA())</f>
        <v>13.85</v>
      </c>
    </row>
    <row r="50" customFormat="false" ht="15" hidden="false" customHeight="false" outlineLevel="0" collapsed="false">
      <c r="A50" s="3" t="s">
        <v>21</v>
      </c>
    </row>
    <row r="51" customFormat="false" ht="15" hidden="false" customHeight="false" outlineLevel="0" collapsed="false">
      <c r="A51" s="12" t="s">
        <v>22</v>
      </c>
      <c r="B51" s="12" t="s">
        <v>23</v>
      </c>
      <c r="C51" s="12" t="s">
        <v>24</v>
      </c>
      <c r="D51" s="12" t="s">
        <v>25</v>
      </c>
    </row>
    <row r="52" customFormat="false" ht="15" hidden="false" customHeight="false" outlineLevel="0" collapsed="false">
      <c r="A52" s="0" t="s">
        <v>26</v>
      </c>
      <c r="B52" s="15" t="n">
        <v>2160</v>
      </c>
      <c r="C52" s="14" t="n">
        <v>0</v>
      </c>
      <c r="D52" s="0" t="s">
        <v>27</v>
      </c>
    </row>
    <row r="53" customFormat="false" ht="15" hidden="false" customHeight="false" outlineLevel="0" collapsed="false">
      <c r="A53" s="0" t="s">
        <v>28</v>
      </c>
      <c r="B53" s="15" t="n">
        <v>2160</v>
      </c>
      <c r="C53" s="14" t="n">
        <v>170</v>
      </c>
      <c r="D53" s="0" t="s">
        <v>27</v>
      </c>
    </row>
    <row r="54" customFormat="false" ht="15" hidden="false" customHeight="false" outlineLevel="0" collapsed="false">
      <c r="A54" s="0" t="s">
        <v>29</v>
      </c>
      <c r="B54" s="15" t="n">
        <v>0</v>
      </c>
      <c r="C54" s="14" t="n">
        <v>170</v>
      </c>
      <c r="D54" s="0" t="s">
        <v>30</v>
      </c>
    </row>
    <row r="55" customFormat="false" ht="15" hidden="false" customHeight="false" outlineLevel="0" collapsed="false">
      <c r="A55" s="0" t="s">
        <v>31</v>
      </c>
      <c r="B55" s="15" t="n">
        <v>2160</v>
      </c>
      <c r="C55" s="14" t="n">
        <v>170</v>
      </c>
      <c r="D55" s="0" t="s">
        <v>30</v>
      </c>
    </row>
    <row r="56" customFormat="false" ht="15" hidden="false" customHeight="false" outlineLevel="0" collapsed="false">
      <c r="A56" s="0" t="s">
        <v>32</v>
      </c>
      <c r="B56" s="15" t="n">
        <v>2160</v>
      </c>
      <c r="C56" s="14" t="n">
        <v>170</v>
      </c>
      <c r="D56" s="0" t="s">
        <v>33</v>
      </c>
    </row>
    <row r="57" customFormat="false" ht="15" hidden="false" customHeight="false" outlineLevel="0" collapsed="false">
      <c r="A57" s="0" t="s">
        <v>34</v>
      </c>
      <c r="B57" s="15" t="n">
        <v>1925</v>
      </c>
      <c r="C57" s="14" t="n">
        <v>180</v>
      </c>
      <c r="D57" s="0" t="s">
        <v>35</v>
      </c>
    </row>
    <row r="58" customFormat="false" ht="15" hidden="false" customHeight="false" outlineLevel="0" collapsed="false">
      <c r="A58" s="0" t="s">
        <v>36</v>
      </c>
      <c r="B58" s="15" t="n">
        <v>1950</v>
      </c>
      <c r="C58" s="14" t="n">
        <v>166</v>
      </c>
      <c r="D58" s="0" t="s">
        <v>37</v>
      </c>
    </row>
    <row r="59" customFormat="false" ht="15" hidden="false" customHeight="false" outlineLevel="0" collapsed="false">
      <c r="A59" s="0" t="s">
        <v>38</v>
      </c>
      <c r="B59" s="15" t="n">
        <f aca="false">B6</f>
        <v>250</v>
      </c>
      <c r="C59" s="14" t="n">
        <f aca="false">C6</f>
        <v>205.25061875</v>
      </c>
      <c r="D59" s="0" t="s">
        <v>39</v>
      </c>
    </row>
    <row r="60" customFormat="false" ht="15" hidden="false" customHeight="false" outlineLevel="0" collapsed="false">
      <c r="A60" s="0" t="s">
        <v>40</v>
      </c>
      <c r="B60" s="15" t="n">
        <f aca="false">B6</f>
        <v>250</v>
      </c>
      <c r="C60" s="14" t="n">
        <f aca="false">D6</f>
        <v>185</v>
      </c>
      <c r="D60" s="0" t="s">
        <v>41</v>
      </c>
    </row>
    <row r="61" customFormat="false" ht="15" hidden="false" customHeight="false" outlineLevel="0" collapsed="false">
      <c r="A61" s="0" t="s">
        <v>42</v>
      </c>
      <c r="B61" s="15" t="n">
        <f aca="false">B7</f>
        <v>0</v>
      </c>
      <c r="C61" s="14" t="n">
        <f aca="false">C7</f>
        <v>204.89</v>
      </c>
      <c r="D61" s="0" t="s">
        <v>43</v>
      </c>
    </row>
    <row r="62" customFormat="false" ht="15" hidden="false" customHeight="false" outlineLevel="0" collapsed="false">
      <c r="A62" s="0" t="s">
        <v>44</v>
      </c>
      <c r="B62" s="15" t="n">
        <f aca="false">B7</f>
        <v>0</v>
      </c>
      <c r="C62" s="14" t="n">
        <f aca="false">D7</f>
        <v>180</v>
      </c>
      <c r="D62" s="0" t="s">
        <v>45</v>
      </c>
    </row>
    <row r="63" customFormat="false" ht="15" hidden="false" customHeight="false" outlineLevel="0" collapsed="false">
      <c r="A63" s="0" t="s">
        <v>46</v>
      </c>
      <c r="B63" s="15" t="n">
        <f aca="false">B8</f>
        <v>0</v>
      </c>
      <c r="C63" s="14" t="n">
        <f aca="false">C8</f>
        <v>204.89</v>
      </c>
      <c r="D63" s="0" t="s">
        <v>47</v>
      </c>
    </row>
    <row r="64" customFormat="false" ht="15" hidden="false" customHeight="false" outlineLevel="0" collapsed="false">
      <c r="A64" s="0" t="s">
        <v>48</v>
      </c>
      <c r="B64" s="15" t="n">
        <f aca="false">B8</f>
        <v>0</v>
      </c>
      <c r="C64" s="14" t="n">
        <f aca="false">D8</f>
        <v>170</v>
      </c>
      <c r="D64" s="0" t="s">
        <v>49</v>
      </c>
    </row>
    <row r="65" customFormat="false" ht="15" hidden="false" customHeight="false" outlineLevel="0" collapsed="false">
      <c r="A65" s="0" t="s">
        <v>50</v>
      </c>
      <c r="B65" s="15" t="n">
        <f aca="false">C12</f>
        <v>4802.6301492743</v>
      </c>
      <c r="C65" s="14" t="n">
        <f aca="false">B12</f>
        <v>0</v>
      </c>
      <c r="D65" s="0" t="s">
        <v>51</v>
      </c>
    </row>
    <row r="66" customFormat="false" ht="15" hidden="false" customHeight="false" outlineLevel="0" collapsed="false">
      <c r="A66" s="0" t="s">
        <v>52</v>
      </c>
      <c r="B66" s="15" t="n">
        <f aca="false">C13</f>
        <v>4802.6301492743</v>
      </c>
      <c r="C66" s="14" t="n">
        <f aca="false">B13</f>
        <v>0</v>
      </c>
      <c r="D66" s="0" t="s">
        <v>53</v>
      </c>
    </row>
    <row r="67" customFormat="false" ht="15" hidden="false" customHeight="false" outlineLevel="0" collapsed="false">
      <c r="A67" s="0" t="s">
        <v>54</v>
      </c>
      <c r="B67" s="15" t="n">
        <f aca="false">C14</f>
        <v>4802.6301492743</v>
      </c>
      <c r="C67" s="14" t="n">
        <f aca="false">B14</f>
        <v>0</v>
      </c>
      <c r="D67" s="0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2026-10-19T13:53:04Z</dcterms:created>
  <dc:creator>openpyxl</dc:creator>
  <dc:description/>
  <dc:language>es-ES</dc:language>
  <cp:lastModifiedBy/>
  <dcterms:modified xsi:type="dcterms:W3CDTF">2026-10-19T16:05:01Z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