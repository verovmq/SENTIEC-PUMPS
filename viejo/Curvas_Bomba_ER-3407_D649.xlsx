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afica" sheetId="1" state="visible" r:id="rId3"/>
    <sheet name="Polinomios" sheetId="2" state="visible" r:id="rId4"/>
    <sheet name="Datos_Curvas" sheetId="3" state="visible" r:id="rId5"/>
  </sheets>
  <definedNames>
    <definedName function="false" hidden="false" name="a0_649" vbProcedure="false">Polinomios!$B$8</definedName>
    <definedName function="false" hidden="false" name="a1_649" vbProcedure="false">Polinomios!$C$8</definedName>
    <definedName function="false" hidden="false" name="a2_649" vbProcedure="false">Polinomios!$D$8</definedName>
    <definedName function="false" hidden="false" name="a3_649" vbProcedure="false">Polinomios!$E$8</definedName>
    <definedName function="false" hidden="false" name="Qmax_649" vbProcedure="false">Polinomios!$G$8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8" authorId="0">
      <text>
        <r>
          <rPr>
            <sz val="10"/>
            <rFont val="Arial"/>
            <family val="2"/>
          </rPr>
          <t xml:space="preserve">En la fila del BEP se muestra el HEAD de la curva Ø635 (verificación).</t>
        </r>
      </text>
    </comment>
  </commentList>
</comments>
</file>

<file path=xl/sharedStrings.xml><?xml version="1.0" encoding="utf-8"?>
<sst xmlns="http://schemas.openxmlformats.org/spreadsheetml/2006/main" count="179" uniqueCount="132">
  <si>
    <t xml:space="preserve">Bomba centrífuga ER-3407 · 1450 rpm · Curvas de HEAD y eficiencia digitalizadas</t>
  </si>
  <si>
    <t xml:space="preserve">Celdas amarillas = valores a introducir. Todo lo demás se calcula con el polinomio de la curva Ø649 mm.</t>
  </si>
  <si>
    <t xml:space="preserve">CÁLCULO 1 · Caudal → HEAD (curva Ø649 mm)</t>
  </si>
  <si>
    <t xml:space="preserve">Punto</t>
  </si>
  <si>
    <t xml:space="preserve">Caudal Q (m³/h)
► INTRODUCIR</t>
  </si>
  <si>
    <t xml:space="preserve">HEAD H (m)
◄ calculado Ø649</t>
  </si>
  <si>
    <t xml:space="preserve">Estado</t>
  </si>
  <si>
    <t xml:space="preserve">P1</t>
  </si>
  <si>
    <t xml:space="preserve">P2</t>
  </si>
  <si>
    <t xml:space="preserve">P3</t>
  </si>
  <si>
    <t xml:space="preserve">CÁLCULO 2 · HEAD → Caudal (curva Ø649 mm)</t>
  </si>
  <si>
    <t xml:space="preserve">HEAD H (m)
► INTRODUCIR</t>
  </si>
  <si>
    <t xml:space="preserve">Caudal Q (m³/h)
◄ calculado Ø649</t>
  </si>
  <si>
    <t xml:space="preserve">G1</t>
  </si>
  <si>
    <t xml:space="preserve">G2</t>
  </si>
  <si>
    <t xml:space="preserve">G3</t>
  </si>
  <si>
    <t xml:space="preserve">PUNTOS DE REFERENCIA</t>
  </si>
  <si>
    <t xml:space="preserve">Caudal Q (m³/h)</t>
  </si>
  <si>
    <t xml:space="preserve">HEAD H (m)</t>
  </si>
  <si>
    <t xml:space="preserve">H según curva Ø649 (m)</t>
  </si>
  <si>
    <t xml:space="preserve">BEP Ø635 (η 81 %)</t>
  </si>
  <si>
    <t xml:space="preserve">Bomba 3</t>
  </si>
  <si>
    <t xml:space="preserve">Bomba 4</t>
  </si>
  <si>
    <t xml:space="preserve">Valores de los puntos de referencia: datos dados por el usuario.</t>
  </si>
  <si>
    <t xml:space="preserve">ECUACIÓN CURVA Ø649 mm</t>
  </si>
  <si>
    <t xml:space="preserve">Construcción: H649(Q) = k·H635(Q/s), k = 1.1752, s = 1.0173, ajustada para pasar exactamente por Bomba 3 y Bomba 4. Ojo: por leyes de afinidad, pasar de Ø635 a Ø649 daría k ≈ 1,045; los puntos medidos requieren k ≈ 1.175 (equivale a ~688 mm teóricos). Puede deberse a velocidad real ≠ 1450 rpm, error de medida o calibración de manómetros.</t>
  </si>
  <si>
    <t xml:space="preserve">Coeficientes de los polinomios digitalizados (curva de fabricante ER-3407, 1450 rpm)</t>
  </si>
  <si>
    <t xml:space="preserve">Curvas de HEAD:  H(Q) = a0 + a1·Q + a2·Q² + a3·Q³   (Q en m³/h, H en m)</t>
  </si>
  <si>
    <t xml:space="preserve">Diámetro impulsor (mm)</t>
  </si>
  <si>
    <t xml:space="preserve">a0</t>
  </si>
  <si>
    <t xml:space="preserve">a1</t>
  </si>
  <si>
    <t xml:space="preserve">a2</t>
  </si>
  <si>
    <t xml:space="preserve">a3</t>
  </si>
  <si>
    <t xml:space="preserve">Q mín (m³/h)</t>
  </si>
  <si>
    <t xml:space="preserve">Q máx (m³/h)</t>
  </si>
  <si>
    <t xml:space="preserve">Origen de los datos</t>
  </si>
  <si>
    <t xml:space="preserve">Digitalizado de la gráfica del fabricante (ajuste cúbico por mínimos cuadrados)</t>
  </si>
  <si>
    <t xml:space="preserve">Digitalizado; ajuste forzado a pasar por el BEP (820; 220) dado por el usuario</t>
  </si>
  <si>
    <t xml:space="preserve">Extrapolado de Ø635: H649(Q)=k·H635(Q/s), con k=1.1752 y s=1.0173, que pasa por Bomba 3 (1040; 203) y Bomba 4 (970; 225)</t>
  </si>
  <si>
    <t xml:space="preserve">Curvas de EFICIENCIA (iso-rendimiento):  Q(H) = b0 + b1·H + b2·H² + b3·H³   (cada curva en U se divide en rama izquierda y rama derecha)</t>
  </si>
  <si>
    <t xml:space="preserve">Rama</t>
  </si>
  <si>
    <t xml:space="preserve">Eficiencia η (%)</t>
  </si>
  <si>
    <t xml:space="preserve">b0</t>
  </si>
  <si>
    <t xml:space="preserve">b1</t>
  </si>
  <si>
    <t xml:space="preserve">b2</t>
  </si>
  <si>
    <t xml:space="preserve">b3</t>
  </si>
  <si>
    <t xml:space="preserve">H inicio (m)</t>
  </si>
  <si>
    <t xml:space="preserve">H fin (m)</t>
  </si>
  <si>
    <t xml:space="preserve">Nota</t>
  </si>
  <si>
    <t xml:space="preserve">Izquierda 60 %</t>
  </si>
  <si>
    <t xml:space="preserve">Empieza sobre la curva Ø508 y termina sobre la curva Ø635 (límites por intersección)</t>
  </si>
  <si>
    <t xml:space="preserve">Izquierda 65 %</t>
  </si>
  <si>
    <t xml:space="preserve">Izquierda 70 %</t>
  </si>
  <si>
    <t xml:space="preserve">Izquierda 75 %</t>
  </si>
  <si>
    <t xml:space="preserve">Izquierda 78 %</t>
  </si>
  <si>
    <t xml:space="preserve">Izquierda 79 %</t>
  </si>
  <si>
    <t xml:space="preserve">Izquierda 80 %</t>
  </si>
  <si>
    <t xml:space="preserve">Lazo cerrado: ambas ramas se unen en (737; 172); termina sobre Ø635</t>
  </si>
  <si>
    <t xml:space="preserve">Derecha 80 %</t>
  </si>
  <si>
    <t xml:space="preserve">Derecha 79 %</t>
  </si>
  <si>
    <t xml:space="preserve">Derecha 78 %</t>
  </si>
  <si>
    <t xml:space="preserve">Derecha 75 %</t>
  </si>
  <si>
    <t xml:space="preserve">Derecha 70 %</t>
  </si>
  <si>
    <t xml:space="preserve">Derecha 65 %</t>
  </si>
  <si>
    <t xml:space="preserve">Notas:</t>
  </si>
  <si>
    <t xml:space="preserve">• Los coeficientes en azul son resultados del ajuste (no se calculan en Excel). Las curvas de la hoja Datos_Curvas se generan con fórmulas a partir de ellos.</t>
  </si>
  <si>
    <t xml:space="preserve">• Escala de digitalización: 1 m³/h ≈ 0,777 px y 1 m ≈ 1,546 px en la imagen original; precisión estimada ±2 m en HEAD y ±5 m³/h en caudal.</t>
  </si>
  <si>
    <t xml:space="preserve">• La curva de 81 % se reduce al punto BEP (820; 220) sobre Ø635, como en la gráfica original.</t>
  </si>
  <si>
    <t xml:space="preserve">• Curva Ø649: por leyes de afinidad (H ∝ D²) se esperaría k ≈ (649/635)² = 1,045; los puntos de operación exigen k ≈ 1.175. Ver comentario en hoja Grafica.</t>
  </si>
  <si>
    <t xml:space="preserve">Puntos generados con fórmulas a partir de los polinomios (hoja Polinomios). No editar: sirven de origen para la gráfica.</t>
  </si>
  <si>
    <t xml:space="preserve">Ø508 mm</t>
  </si>
  <si>
    <t xml:space="preserve">Ø572 mm</t>
  </si>
  <si>
    <t xml:space="preserve">Ø635 mm</t>
  </si>
  <si>
    <t xml:space="preserve">Ø649 mm</t>
  </si>
  <si>
    <t xml:space="preserve">η 60 % (izq.)</t>
  </si>
  <si>
    <t xml:space="preserve">η 65 % (izq.)</t>
  </si>
  <si>
    <t xml:space="preserve">η 70 % (izq.)</t>
  </si>
  <si>
    <t xml:space="preserve">η 75 % (izq.)</t>
  </si>
  <si>
    <t xml:space="preserve">η 78 % (izq.)</t>
  </si>
  <si>
    <t xml:space="preserve">η 79 % (izq.)</t>
  </si>
  <si>
    <t xml:space="preserve">η 80 % (izq.)</t>
  </si>
  <si>
    <t xml:space="preserve">η 80 % (der.)</t>
  </si>
  <si>
    <t xml:space="preserve">η 79 % (der.)</t>
  </si>
  <si>
    <t xml:space="preserve">η 78 % (der.)</t>
  </si>
  <si>
    <t xml:space="preserve">η 75 % (der.)</t>
  </si>
  <si>
    <t xml:space="preserve">η 70 % (der.)</t>
  </si>
  <si>
    <t xml:space="preserve">η 65 % (der.)</t>
  </si>
  <si>
    <t xml:space="preserve">Líneas guía de puntos de referencia</t>
  </si>
  <si>
    <t xml:space="preserve">Inversión H → Q por Newton-Raphson sobre el polinomio Ø649 (Q_{n+1} = Q_n − (P(Q_n) − H)/P'(Q_n)), 25 iteraciones, Q₀ = Q máx</t>
  </si>
  <si>
    <t xml:space="preserve">Puntos dinámicos para la gráfica (si la celda de entrada está vacía, el punto no se dibuja)</t>
  </si>
  <si>
    <t xml:space="preserve">Q (m³/h)</t>
  </si>
  <si>
    <t xml:space="preserve">H (m)</t>
  </si>
  <si>
    <t xml:space="preserve">BEP Ø635 (η 81 %) Q</t>
  </si>
  <si>
    <t xml:space="preserve">BEP Ø635 (η 81 %) H</t>
  </si>
  <si>
    <t xml:space="preserve">Bomba 3 Q</t>
  </si>
  <si>
    <t xml:space="preserve">Bomba 3 H</t>
  </si>
  <si>
    <t xml:space="preserve">Bomba 4 Q</t>
  </si>
  <si>
    <t xml:space="preserve">Bomba 4 H</t>
  </si>
  <si>
    <t xml:space="preserve">H objetivo</t>
  </si>
  <si>
    <t xml:space="preserve">Q0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</si>
  <si>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</si>
  <si>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</si>
  <si>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</si>
  <si>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</si>
  <si>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</si>
  <si>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</si>
  <si>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</si>
  <si>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</si>
  <si>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</si>
  <si>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</si>
  <si>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Q11</t>
  </si>
  <si>
    <t xml:space="preserve">Q12</t>
  </si>
  <si>
    <t xml:space="preserve">Q13</t>
  </si>
  <si>
    <t xml:space="preserve">Q14</t>
  </si>
  <si>
    <t xml:space="preserve">Q15</t>
  </si>
  <si>
    <t xml:space="preserve">Q16</t>
  </si>
  <si>
    <t xml:space="preserve">Q17</t>
  </si>
  <si>
    <t xml:space="preserve">Q18</t>
  </si>
  <si>
    <t xml:space="preserve">Q19</t>
  </si>
  <si>
    <t xml:space="preserve">Q20</t>
  </si>
  <si>
    <t xml:space="preserve">Q21</t>
  </si>
  <si>
    <t xml:space="preserve">Q22</t>
  </si>
  <si>
    <t xml:space="preserve">Q23</t>
  </si>
  <si>
    <t xml:space="preserve">Q24</t>
  </si>
  <si>
    <t xml:space="preserve">Q25</t>
  </si>
  <si>
    <t xml:space="preserve">Q resultado</t>
  </si>
  <si>
    <t xml:space="preserve">Q (cálc. 1)</t>
  </si>
  <si>
    <t xml:space="preserve">H (cálc. 1)</t>
  </si>
  <si>
    <t xml:space="preserve">Etiqueta 1</t>
  </si>
  <si>
    <t xml:space="preserve">Q (cálc. 2)</t>
  </si>
  <si>
    <t xml:space="preserve">H (cálc. 2)</t>
  </si>
  <si>
    <t xml:space="preserve">Etiqueta 2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</si>
</sst>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"/>
    <numFmt numFmtId="166" formatCode="0"/>
    <numFmt numFmtId="167" formatCode="0.000000E+00"/>
    <numFmt numFmtId="168" formatCode="General"/>
    <numFmt numFmtId="169" formatCode="0.000"/>
    <numFmt numFmtId="170" formatCode="0.0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F3A93"/>
      <name val="Arial"/>
      <family val="0"/>
      <charset val="1"/>
    </font>
    <font>
      <b val="true"/>
      <sz val="10"/>
      <color rgb="FF29ABE2"/>
      <name val="Arial"/>
      <family val="0"/>
      <charset val="1"/>
    </font>
    <font>
      <i val="true"/>
      <sz val="8"/>
      <color rgb="FF595959"/>
      <name val="Arial"/>
      <family val="0"/>
      <charset val="1"/>
    </font>
    <font>
      <sz val="8"/>
      <color rgb="FF595959"/>
      <name val="Arial"/>
      <family val="0"/>
      <charset val="1"/>
    </font>
    <font>
      <sz val="10"/>
      <name val="Arial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7030A0"/>
        <bgColor rgb="FF800080"/>
      </patternFill>
    </fill>
    <fill>
      <patternFill patternType="solid">
        <fgColor rgb="FFE4D7F0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8080"/>
      </patternFill>
    </fill>
    <fill>
      <patternFill patternType="solid">
        <fgColor rgb="FFD9F2D0"/>
        <bgColor rgb="FFF2F2F2"/>
      </patternFill>
    </fill>
    <fill>
      <patternFill patternType="solid">
        <fgColor rgb="FF404040"/>
        <bgColor rgb="FF333300"/>
      </patternFill>
    </fill>
    <fill>
      <patternFill patternType="solid">
        <fgColor rgb="FFD9D9D9"/>
        <bgColor rgb="FFE4D7F0"/>
      </patternFill>
    </fill>
    <fill>
      <patternFill patternType="solid">
        <fgColor rgb="FF7F6000"/>
        <bgColor rgb="FFA0522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6100"/>
      <rgbColor rgb="FF000080"/>
      <rgbColor rgb="FF7F6000"/>
      <rgbColor rgb="FF800080"/>
      <rgbColor rgb="FF008080"/>
      <rgbColor rgb="FFD9D9D9"/>
      <rgbColor rgb="FF808080"/>
      <rgbColor rgb="FFB07CD8"/>
      <rgbColor rgb="FF7030A0"/>
      <rgbColor rgb="FFF2F2F2"/>
      <rgbColor rgb="FFCCFFFF"/>
      <rgbColor rgb="FF4B0082"/>
      <rgbColor rgb="FFFF8080"/>
      <rgbColor rgb="FF0066CC"/>
      <rgbColor rgb="FFE4D7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99CCFF"/>
      <rgbColor rgb="FFFF99CC"/>
      <rgbColor rgb="FFCC99FF"/>
      <rgbColor rgb="FFFFCC99"/>
      <rgbColor rgb="FF3366FF"/>
      <rgbColor rgb="FF29ABE2"/>
      <rgbColor rgb="FF7DCE3E"/>
      <rgbColor rgb="FFFFCC00"/>
      <rgbColor rgb="FFFF9900"/>
      <rgbColor rgb="FFED7D31"/>
      <rgbColor rgb="FF595959"/>
      <rgbColor rgb="FF878787"/>
      <rgbColor rgb="FF003366"/>
      <rgbColor rgb="FF00B050"/>
      <rgbColor rgb="FF003300"/>
      <rgbColor rgb="FF333300"/>
      <rgbColor rgb="FFA0522D"/>
      <rgbColor rgb="FF7F7F7F"/>
      <rgbColor rgb="FF1F3A93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"HEAD Ø508 mm"</c:f>
              <c:strCache>
                <c:ptCount val="1"/>
                <c:pt idx="0">
                  <c:v>HEAD Ø508 mm</c:v>
                </c:pt>
              </c:strCache>
            </c:strRef>
          </c:tx>
          <c:spPr>
            <a:solidFill>
              <a:srgbClr val="7f7f7f"/>
            </a:solidFill>
            <a:ln w="25560">
              <a:solidFill>
                <a:srgbClr val="7f7f7f"/>
              </a:solidFill>
              <a:round/>
            </a:ln>
          </c:spPr>
          <c:marker>
            <c:symbol val="none"/>
          </c:marker>
          <c:dPt>
            <c:idx val="3"/>
            <c:marker>
              <c:symbol val="none"/>
            </c:marker>
          </c:dPt>
          <c:dLbls>
            <c:dLbl>
              <c:idx val="3"/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7f7f7f"/>
                      </a:solidFill>
                      <a:latin typeface="Arial"/>
                    </a:defRPr>
                  </a:pPr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Datos_Curvas!$A$5:$A$45</c:f>
              <c:numCache>
                <c:formatCode>0.0</c:formatCode>
                <c:ptCount val="41"/>
                <c:pt idx="0">
                  <c:v>0</c:v>
                </c:pt>
                <c:pt idx="1">
                  <c:v>21.25</c:v>
                </c:pt>
                <c:pt idx="2">
                  <c:v>42.5</c:v>
                </c:pt>
                <c:pt idx="3">
                  <c:v>63.75</c:v>
                </c:pt>
                <c:pt idx="4">
                  <c:v>85</c:v>
                </c:pt>
                <c:pt idx="5">
                  <c:v>106.25</c:v>
                </c:pt>
                <c:pt idx="6">
                  <c:v>127.5</c:v>
                </c:pt>
                <c:pt idx="7">
                  <c:v>148.75</c:v>
                </c:pt>
                <c:pt idx="8">
                  <c:v>170</c:v>
                </c:pt>
                <c:pt idx="9">
                  <c:v>191.25</c:v>
                </c:pt>
                <c:pt idx="10">
                  <c:v>212.5</c:v>
                </c:pt>
                <c:pt idx="11">
                  <c:v>233.75</c:v>
                </c:pt>
                <c:pt idx="12">
                  <c:v>255</c:v>
                </c:pt>
                <c:pt idx="13">
                  <c:v>276.25</c:v>
                </c:pt>
                <c:pt idx="14">
                  <c:v>297.5</c:v>
                </c:pt>
                <c:pt idx="15">
                  <c:v>318.75</c:v>
                </c:pt>
                <c:pt idx="16">
                  <c:v>340</c:v>
                </c:pt>
                <c:pt idx="17">
                  <c:v>361.25</c:v>
                </c:pt>
                <c:pt idx="18">
                  <c:v>382.5</c:v>
                </c:pt>
                <c:pt idx="19">
                  <c:v>403.75</c:v>
                </c:pt>
                <c:pt idx="20">
                  <c:v>425</c:v>
                </c:pt>
                <c:pt idx="21">
                  <c:v>446.25</c:v>
                </c:pt>
                <c:pt idx="22">
                  <c:v>467.5</c:v>
                </c:pt>
                <c:pt idx="23">
                  <c:v>488.75</c:v>
                </c:pt>
                <c:pt idx="24">
                  <c:v>510</c:v>
                </c:pt>
                <c:pt idx="25">
                  <c:v>531.25</c:v>
                </c:pt>
                <c:pt idx="26">
                  <c:v>552.5</c:v>
                </c:pt>
                <c:pt idx="27">
                  <c:v>573.75</c:v>
                </c:pt>
                <c:pt idx="28">
                  <c:v>595</c:v>
                </c:pt>
                <c:pt idx="29">
                  <c:v>616.25</c:v>
                </c:pt>
                <c:pt idx="30">
                  <c:v>637.5</c:v>
                </c:pt>
                <c:pt idx="31">
                  <c:v>658.75</c:v>
                </c:pt>
                <c:pt idx="32">
                  <c:v>680</c:v>
                </c:pt>
                <c:pt idx="33">
                  <c:v>701.25</c:v>
                </c:pt>
                <c:pt idx="34">
                  <c:v>722.5</c:v>
                </c:pt>
                <c:pt idx="35">
                  <c:v>743.75</c:v>
                </c:pt>
                <c:pt idx="36">
                  <c:v>765</c:v>
                </c:pt>
                <c:pt idx="37">
                  <c:v>786.25</c:v>
                </c:pt>
                <c:pt idx="38">
                  <c:v>807.5</c:v>
                </c:pt>
                <c:pt idx="39">
                  <c:v>828.75</c:v>
                </c:pt>
                <c:pt idx="40">
                  <c:v>850</c:v>
                </c:pt>
              </c:numCache>
            </c:numRef>
          </c:xVal>
          <c:yVal>
            <c:numRef>
              <c:f>Datos_Curvas!$B$5:$B$45</c:f>
              <c:numCache>
                <c:formatCode>0.0</c:formatCode>
                <c:ptCount val="41"/>
                <c:pt idx="0">
                  <c:v>159.547722468647</c:v>
                </c:pt>
                <c:pt idx="1">
                  <c:v>159.186473423617</c:v>
                </c:pt>
                <c:pt idx="2">
                  <c:v>158.849881846044</c:v>
                </c:pt>
                <c:pt idx="3">
                  <c:v>158.530014659803</c:v>
                </c:pt>
                <c:pt idx="4">
                  <c:v>158.218938788773</c:v>
                </c:pt>
                <c:pt idx="5">
                  <c:v>157.908721156828</c:v>
                </c:pt>
                <c:pt idx="6">
                  <c:v>157.591428687845</c:v>
                </c:pt>
                <c:pt idx="7">
                  <c:v>157.259128305701</c:v>
                </c:pt>
                <c:pt idx="8">
                  <c:v>156.903886934271</c:v>
                </c:pt>
                <c:pt idx="9">
                  <c:v>156.517771497433</c:v>
                </c:pt>
                <c:pt idx="10">
                  <c:v>156.092848919063</c:v>
                </c:pt>
                <c:pt idx="11">
                  <c:v>155.621186123037</c:v>
                </c:pt>
                <c:pt idx="12">
                  <c:v>155.094850033231</c:v>
                </c:pt>
                <c:pt idx="13">
                  <c:v>154.505907573523</c:v>
                </c:pt>
                <c:pt idx="14">
                  <c:v>153.846425667787</c:v>
                </c:pt>
                <c:pt idx="15">
                  <c:v>153.108471239901</c:v>
                </c:pt>
                <c:pt idx="16">
                  <c:v>152.284111213742</c:v>
                </c:pt>
                <c:pt idx="17">
                  <c:v>151.365412513184</c:v>
                </c:pt>
                <c:pt idx="18">
                  <c:v>150.344442062106</c:v>
                </c:pt>
                <c:pt idx="19">
                  <c:v>149.213266784382</c:v>
                </c:pt>
                <c:pt idx="20">
                  <c:v>147.96395360389</c:v>
                </c:pt>
                <c:pt idx="21">
                  <c:v>146.588569444506</c:v>
                </c:pt>
                <c:pt idx="22">
                  <c:v>145.079181230107</c:v>
                </c:pt>
                <c:pt idx="23">
                  <c:v>143.427855884568</c:v>
                </c:pt>
                <c:pt idx="24">
                  <c:v>141.626660331766</c:v>
                </c:pt>
                <c:pt idx="25">
                  <c:v>139.667661495577</c:v>
                </c:pt>
                <c:pt idx="26">
                  <c:v>137.542926299878</c:v>
                </c:pt>
                <c:pt idx="27">
                  <c:v>135.244521668546</c:v>
                </c:pt>
                <c:pt idx="28">
                  <c:v>132.764514525456</c:v>
                </c:pt>
                <c:pt idx="29">
                  <c:v>130.094971794485</c:v>
                </c:pt>
                <c:pt idx="30">
                  <c:v>127.22796039951</c:v>
                </c:pt>
                <c:pt idx="31">
                  <c:v>124.155547264406</c:v>
                </c:pt>
                <c:pt idx="32">
                  <c:v>120.86979931305</c:v>
                </c:pt>
                <c:pt idx="33">
                  <c:v>117.362783469319</c:v>
                </c:pt>
                <c:pt idx="34">
                  <c:v>113.626566657088</c:v>
                </c:pt>
                <c:pt idx="35">
                  <c:v>109.653215800235</c:v>
                </c:pt>
                <c:pt idx="36">
                  <c:v>105.434797822636</c:v>
                </c:pt>
                <c:pt idx="37">
                  <c:v>100.963379648167</c:v>
                </c:pt>
                <c:pt idx="38">
                  <c:v>96.2310282007034</c:v>
                </c:pt>
                <c:pt idx="39">
                  <c:v>91.2298104041232</c:v>
                </c:pt>
                <c:pt idx="40">
                  <c:v>85.9517931823021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"HEAD Ø572 mm"</c:f>
              <c:strCache>
                <c:ptCount val="1"/>
                <c:pt idx="0">
                  <c:v>HEAD Ø572 mm</c:v>
                </c:pt>
              </c:strCache>
            </c:strRef>
          </c:tx>
          <c:spPr>
            <a:solidFill>
              <a:srgbClr val="404040"/>
            </a:solidFill>
            <a:ln w="25560">
              <a:solidFill>
                <a:srgbClr val="404040"/>
              </a:solidFill>
              <a:round/>
            </a:ln>
          </c:spPr>
          <c:marker>
            <c:symbol val="none"/>
          </c:marker>
          <c:dPt>
            <c:idx val="3"/>
            <c:marker>
              <c:symbol val="none"/>
            </c:marker>
          </c:dPt>
          <c:dLbls>
            <c:dLbl>
              <c:idx val="3"/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404040"/>
                      </a:solidFill>
                      <a:latin typeface="Arial"/>
                    </a:defRPr>
                  </a:pPr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Datos_Curvas!$D$5:$D$45</c:f>
              <c:numCache>
                <c:formatCode>0.0</c:formatCode>
                <c:ptCount val="41"/>
                <c:pt idx="0">
                  <c:v>0</c:v>
                </c:pt>
                <c:pt idx="1">
                  <c:v>24.375</c:v>
                </c:pt>
                <c:pt idx="2">
                  <c:v>48.75</c:v>
                </c:pt>
                <c:pt idx="3">
                  <c:v>73.125</c:v>
                </c:pt>
                <c:pt idx="4">
                  <c:v>97.5</c:v>
                </c:pt>
                <c:pt idx="5">
                  <c:v>121.875</c:v>
                </c:pt>
                <c:pt idx="6">
                  <c:v>146.25</c:v>
                </c:pt>
                <c:pt idx="7">
                  <c:v>170.625</c:v>
                </c:pt>
                <c:pt idx="8">
                  <c:v>195</c:v>
                </c:pt>
                <c:pt idx="9">
                  <c:v>219.375</c:v>
                </c:pt>
                <c:pt idx="10">
                  <c:v>243.75</c:v>
                </c:pt>
                <c:pt idx="11">
                  <c:v>268.125</c:v>
                </c:pt>
                <c:pt idx="12">
                  <c:v>292.5</c:v>
                </c:pt>
                <c:pt idx="13">
                  <c:v>316.875</c:v>
                </c:pt>
                <c:pt idx="14">
                  <c:v>341.25</c:v>
                </c:pt>
                <c:pt idx="15">
                  <c:v>365.625</c:v>
                </c:pt>
                <c:pt idx="16">
                  <c:v>390</c:v>
                </c:pt>
                <c:pt idx="17">
                  <c:v>414.375</c:v>
                </c:pt>
                <c:pt idx="18">
                  <c:v>438.75</c:v>
                </c:pt>
                <c:pt idx="19">
                  <c:v>463.125</c:v>
                </c:pt>
                <c:pt idx="20">
                  <c:v>487.5</c:v>
                </c:pt>
                <c:pt idx="21">
                  <c:v>511.875</c:v>
                </c:pt>
                <c:pt idx="22">
                  <c:v>536.25</c:v>
                </c:pt>
                <c:pt idx="23">
                  <c:v>560.625</c:v>
                </c:pt>
                <c:pt idx="24">
                  <c:v>585</c:v>
                </c:pt>
                <c:pt idx="25">
                  <c:v>609.375</c:v>
                </c:pt>
                <c:pt idx="26">
                  <c:v>633.75</c:v>
                </c:pt>
                <c:pt idx="27">
                  <c:v>658.125</c:v>
                </c:pt>
                <c:pt idx="28">
                  <c:v>682.5</c:v>
                </c:pt>
                <c:pt idx="29">
                  <c:v>706.875</c:v>
                </c:pt>
                <c:pt idx="30">
                  <c:v>731.25</c:v>
                </c:pt>
                <c:pt idx="31">
                  <c:v>755.625</c:v>
                </c:pt>
                <c:pt idx="32">
                  <c:v>780</c:v>
                </c:pt>
                <c:pt idx="33">
                  <c:v>804.375</c:v>
                </c:pt>
                <c:pt idx="34">
                  <c:v>828.75</c:v>
                </c:pt>
                <c:pt idx="35">
                  <c:v>853.125</c:v>
                </c:pt>
                <c:pt idx="36">
                  <c:v>877.5</c:v>
                </c:pt>
                <c:pt idx="37">
                  <c:v>901.875</c:v>
                </c:pt>
                <c:pt idx="38">
                  <c:v>926.25</c:v>
                </c:pt>
                <c:pt idx="39">
                  <c:v>950.625</c:v>
                </c:pt>
                <c:pt idx="40">
                  <c:v>975</c:v>
                </c:pt>
              </c:numCache>
            </c:numRef>
          </c:xVal>
          <c:yVal>
            <c:numRef>
              <c:f>Datos_Curvas!$E$5:$E$45</c:f>
              <c:numCache>
                <c:formatCode>0.0</c:formatCode>
                <c:ptCount val="41"/>
                <c:pt idx="0">
                  <c:v>219.974820221592</c:v>
                </c:pt>
                <c:pt idx="1">
                  <c:v>219.353981501858</c:v>
                </c:pt>
                <c:pt idx="2">
                  <c:v>218.797608839761</c:v>
                </c:pt>
                <c:pt idx="3">
                  <c:v>218.293162629858</c:v>
                </c:pt>
                <c:pt idx="4">
                  <c:v>217.828103266708</c:v>
                </c:pt>
                <c:pt idx="5">
                  <c:v>217.389891144869</c:v>
                </c:pt>
                <c:pt idx="6">
                  <c:v>216.965986658898</c:v>
                </c:pt>
                <c:pt idx="7">
                  <c:v>216.543850203354</c:v>
                </c:pt>
                <c:pt idx="8">
                  <c:v>216.110942172794</c:v>
                </c:pt>
                <c:pt idx="9">
                  <c:v>215.654722961776</c:v>
                </c:pt>
                <c:pt idx="10">
                  <c:v>215.162652964858</c:v>
                </c:pt>
                <c:pt idx="11">
                  <c:v>214.622192576598</c:v>
                </c:pt>
                <c:pt idx="12">
                  <c:v>214.020802191555</c:v>
                </c:pt>
                <c:pt idx="13">
                  <c:v>213.345942204285</c:v>
                </c:pt>
                <c:pt idx="14">
                  <c:v>212.585073009347</c:v>
                </c:pt>
                <c:pt idx="15">
                  <c:v>211.725655001299</c:v>
                </c:pt>
                <c:pt idx="16">
                  <c:v>210.755148574699</c:v>
                </c:pt>
                <c:pt idx="17">
                  <c:v>209.661014124104</c:v>
                </c:pt>
                <c:pt idx="18">
                  <c:v>208.430712044072</c:v>
                </c:pt>
                <c:pt idx="19">
                  <c:v>207.051702729162</c:v>
                </c:pt>
                <c:pt idx="20">
                  <c:v>205.511446573931</c:v>
                </c:pt>
                <c:pt idx="21">
                  <c:v>203.797403972938</c:v>
                </c:pt>
                <c:pt idx="22">
                  <c:v>201.897035320739</c:v>
                </c:pt>
                <c:pt idx="23">
                  <c:v>199.797801011894</c:v>
                </c:pt>
                <c:pt idx="24">
                  <c:v>197.487161440959</c:v>
                </c:pt>
                <c:pt idx="25">
                  <c:v>194.952577002494</c:v>
                </c:pt>
                <c:pt idx="26">
                  <c:v>192.181508091055</c:v>
                </c:pt>
                <c:pt idx="27">
                  <c:v>189.161415101201</c:v>
                </c:pt>
                <c:pt idx="28">
                  <c:v>185.879758427489</c:v>
                </c:pt>
                <c:pt idx="29">
                  <c:v>182.323998464478</c:v>
                </c:pt>
                <c:pt idx="30">
                  <c:v>178.481595606726</c:v>
                </c:pt>
                <c:pt idx="31">
                  <c:v>174.34001024879</c:v>
                </c:pt>
                <c:pt idx="32">
                  <c:v>169.886702785228</c:v>
                </c:pt>
                <c:pt idx="33">
                  <c:v>165.109133610598</c:v>
                </c:pt>
                <c:pt idx="34">
                  <c:v>159.994763119458</c:v>
                </c:pt>
                <c:pt idx="35">
                  <c:v>154.531051706367</c:v>
                </c:pt>
                <c:pt idx="36">
                  <c:v>148.705459765881</c:v>
                </c:pt>
                <c:pt idx="37">
                  <c:v>142.505447692559</c:v>
                </c:pt>
                <c:pt idx="38">
                  <c:v>135.918475880959</c:v>
                </c:pt>
                <c:pt idx="39">
                  <c:v>128.932004725639</c:v>
                </c:pt>
                <c:pt idx="40">
                  <c:v>121.533494621156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"HEAD Ø635 mm"</c:f>
              <c:strCache>
                <c:ptCount val="1"/>
                <c:pt idx="0">
                  <c:v>HEAD Ø635 mm</c:v>
                </c:pt>
              </c:strCache>
            </c:strRef>
          </c:tx>
          <c:spPr>
            <a:solidFill>
              <a:srgbClr val="000000"/>
            </a:solidFill>
            <a:ln w="31680">
              <a:solidFill>
                <a:srgbClr val="000000"/>
              </a:solidFill>
              <a:round/>
            </a:ln>
          </c:spPr>
          <c:marker>
            <c:symbol val="none"/>
          </c:marker>
          <c:dPt>
            <c:idx val="3"/>
            <c:marker>
              <c:symbol val="none"/>
            </c:marker>
          </c:dPt>
          <c:dLbls>
            <c:dLbl>
              <c:idx val="3"/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Datos_Curvas!$G$5:$G$45</c:f>
              <c:numCache>
                <c:formatCode>0.0</c:formatCode>
                <c:ptCount val="41"/>
                <c:pt idx="0">
                  <c:v>0</c:v>
                </c:pt>
                <c:pt idx="1">
                  <c:v>27.6</c:v>
                </c:pt>
                <c:pt idx="2">
                  <c:v>55.2</c:v>
                </c:pt>
                <c:pt idx="3">
                  <c:v>82.8</c:v>
                </c:pt>
                <c:pt idx="4">
                  <c:v>110.4</c:v>
                </c:pt>
                <c:pt idx="5">
                  <c:v>138</c:v>
                </c:pt>
                <c:pt idx="6">
                  <c:v>165.6</c:v>
                </c:pt>
                <c:pt idx="7">
                  <c:v>193.2</c:v>
                </c:pt>
                <c:pt idx="8">
                  <c:v>220.8</c:v>
                </c:pt>
                <c:pt idx="9">
                  <c:v>248.4</c:v>
                </c:pt>
                <c:pt idx="10">
                  <c:v>276</c:v>
                </c:pt>
                <c:pt idx="11">
                  <c:v>303.6</c:v>
                </c:pt>
                <c:pt idx="12">
                  <c:v>331.2</c:v>
                </c:pt>
                <c:pt idx="13">
                  <c:v>358.8</c:v>
                </c:pt>
                <c:pt idx="14">
                  <c:v>386.4</c:v>
                </c:pt>
                <c:pt idx="15">
                  <c:v>414</c:v>
                </c:pt>
                <c:pt idx="16">
                  <c:v>441.6</c:v>
                </c:pt>
                <c:pt idx="17">
                  <c:v>469.2</c:v>
                </c:pt>
                <c:pt idx="18">
                  <c:v>496.8</c:v>
                </c:pt>
                <c:pt idx="19">
                  <c:v>524.4</c:v>
                </c:pt>
                <c:pt idx="20">
                  <c:v>552</c:v>
                </c:pt>
                <c:pt idx="21">
                  <c:v>579.6</c:v>
                </c:pt>
                <c:pt idx="22">
                  <c:v>607.2</c:v>
                </c:pt>
                <c:pt idx="23">
                  <c:v>634.8</c:v>
                </c:pt>
                <c:pt idx="24">
                  <c:v>662.4</c:v>
                </c:pt>
                <c:pt idx="25">
                  <c:v>690</c:v>
                </c:pt>
                <c:pt idx="26">
                  <c:v>717.6</c:v>
                </c:pt>
                <c:pt idx="27">
                  <c:v>745.2</c:v>
                </c:pt>
                <c:pt idx="28">
                  <c:v>772.8</c:v>
                </c:pt>
                <c:pt idx="29">
                  <c:v>800.4</c:v>
                </c:pt>
                <c:pt idx="30">
                  <c:v>828</c:v>
                </c:pt>
                <c:pt idx="31">
                  <c:v>855.6</c:v>
                </c:pt>
                <c:pt idx="32">
                  <c:v>883.2</c:v>
                </c:pt>
                <c:pt idx="33">
                  <c:v>910.8</c:v>
                </c:pt>
                <c:pt idx="34">
                  <c:v>938.4</c:v>
                </c:pt>
                <c:pt idx="35">
                  <c:v>966</c:v>
                </c:pt>
                <c:pt idx="36">
                  <c:v>993.6</c:v>
                </c:pt>
                <c:pt idx="37">
                  <c:v>1021.2</c:v>
                </c:pt>
                <c:pt idx="38">
                  <c:v>1048.8</c:v>
                </c:pt>
                <c:pt idx="39">
                  <c:v>1076.4</c:v>
                </c:pt>
                <c:pt idx="40">
                  <c:v>1104</c:v>
                </c:pt>
              </c:numCache>
            </c:numRef>
          </c:xVal>
          <c:yVal>
            <c:numRef>
              <c:f>Datos_Curvas!$H$5:$H$45</c:f>
              <c:numCache>
                <c:formatCode>0.0</c:formatCode>
                <c:ptCount val="41"/>
                <c:pt idx="0">
                  <c:v>273.414469856574</c:v>
                </c:pt>
                <c:pt idx="1">
                  <c:v>272.398404558321</c:v>
                </c:pt>
                <c:pt idx="2">
                  <c:v>271.47895189449</c:v>
                </c:pt>
                <c:pt idx="3">
                  <c:v>270.639756077562</c:v>
                </c:pt>
                <c:pt idx="4">
                  <c:v>269.864461320021</c:v>
                </c:pt>
                <c:pt idx="5">
                  <c:v>269.13671183435</c:v>
                </c:pt>
                <c:pt idx="6">
                  <c:v>268.440151833031</c:v>
                </c:pt>
                <c:pt idx="7">
                  <c:v>267.758425528548</c:v>
                </c:pt>
                <c:pt idx="8">
                  <c:v>267.075177133383</c:v>
                </c:pt>
                <c:pt idx="9">
                  <c:v>266.374050860019</c:v>
                </c:pt>
                <c:pt idx="10">
                  <c:v>265.63869092094</c:v>
                </c:pt>
                <c:pt idx="11">
                  <c:v>264.852741528628</c:v>
                </c:pt>
                <c:pt idx="12">
                  <c:v>263.999846895565</c:v>
                </c:pt>
                <c:pt idx="13">
                  <c:v>263.063651234236</c:v>
                </c:pt>
                <c:pt idx="14">
                  <c:v>262.027798757122</c:v>
                </c:pt>
                <c:pt idx="15">
                  <c:v>260.875933676708</c:v>
                </c:pt>
                <c:pt idx="16">
                  <c:v>259.591700205474</c:v>
                </c:pt>
                <c:pt idx="17">
                  <c:v>258.158742555906</c:v>
                </c:pt>
                <c:pt idx="18">
                  <c:v>256.560704940485</c:v>
                </c:pt>
                <c:pt idx="19">
                  <c:v>254.781231571694</c:v>
                </c:pt>
                <c:pt idx="20">
                  <c:v>252.803966662017</c:v>
                </c:pt>
                <c:pt idx="21">
                  <c:v>250.612554423935</c:v>
                </c:pt>
                <c:pt idx="22">
                  <c:v>248.190639069933</c:v>
                </c:pt>
                <c:pt idx="23">
                  <c:v>245.521864812493</c:v>
                </c:pt>
                <c:pt idx="24">
                  <c:v>242.589875864098</c:v>
                </c:pt>
                <c:pt idx="25">
                  <c:v>239.378316437231</c:v>
                </c:pt>
                <c:pt idx="26">
                  <c:v>235.870830744374</c:v>
                </c:pt>
                <c:pt idx="27">
                  <c:v>232.051062998011</c:v>
                </c:pt>
                <c:pt idx="28">
                  <c:v>227.902657410625</c:v>
                </c:pt>
                <c:pt idx="29">
                  <c:v>223.409258194698</c:v>
                </c:pt>
                <c:pt idx="30">
                  <c:v>218.554509562714</c:v>
                </c:pt>
                <c:pt idx="31">
                  <c:v>213.322055727155</c:v>
                </c:pt>
                <c:pt idx="32">
                  <c:v>207.695540900504</c:v>
                </c:pt>
                <c:pt idx="33">
                  <c:v>201.658609295244</c:v>
                </c:pt>
                <c:pt idx="34">
                  <c:v>195.194905123858</c:v>
                </c:pt>
                <c:pt idx="35">
                  <c:v>188.288072598829</c:v>
                </c:pt>
                <c:pt idx="36">
                  <c:v>180.92175593264</c:v>
                </c:pt>
                <c:pt idx="37">
                  <c:v>173.079599337774</c:v>
                </c:pt>
                <c:pt idx="38">
                  <c:v>164.745247026714</c:v>
                </c:pt>
                <c:pt idx="39">
                  <c:v>155.902343211942</c:v>
                </c:pt>
                <c:pt idx="40">
                  <c:v>146.534532105941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"HEAD Ø649 mm"</c:f>
              <c:strCache>
                <c:ptCount val="1"/>
                <c:pt idx="0">
                  <c:v>HEAD Ø649 mm</c:v>
                </c:pt>
              </c:strCache>
            </c:strRef>
          </c:tx>
          <c:spPr>
            <a:solidFill>
              <a:srgbClr val="ed7d31"/>
            </a:solidFill>
            <a:ln w="38160">
              <a:solidFill>
                <a:srgbClr val="ed7d31"/>
              </a:solidFill>
              <a:round/>
            </a:ln>
          </c:spPr>
          <c:marker>
            <c:symbol val="none"/>
          </c:marker>
          <c:dPt>
            <c:idx val="6"/>
            <c:marker>
              <c:symbol val="none"/>
            </c:marker>
          </c:dPt>
          <c:dLbls>
            <c:dLbl>
              <c:idx val="6"/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ed7d31"/>
                      </a:solidFill>
                      <a:latin typeface="Arial"/>
                    </a:defRPr>
                  </a:pPr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Datos_Curvas!$J$5:$J$45</c:f>
              <c:numCache>
                <c:formatCode>0.0</c:formatCode>
                <c:ptCount val="41"/>
                <c:pt idx="0">
                  <c:v>0</c:v>
                </c:pt>
                <c:pt idx="1">
                  <c:v>28.25</c:v>
                </c:pt>
                <c:pt idx="2">
                  <c:v>56.5</c:v>
                </c:pt>
                <c:pt idx="3">
                  <c:v>84.75</c:v>
                </c:pt>
                <c:pt idx="4">
                  <c:v>113</c:v>
                </c:pt>
                <c:pt idx="5">
                  <c:v>141.25</c:v>
                </c:pt>
                <c:pt idx="6">
                  <c:v>169.5</c:v>
                </c:pt>
                <c:pt idx="7">
                  <c:v>197.75</c:v>
                </c:pt>
                <c:pt idx="8">
                  <c:v>226</c:v>
                </c:pt>
                <c:pt idx="9">
                  <c:v>254.25</c:v>
                </c:pt>
                <c:pt idx="10">
                  <c:v>282.5</c:v>
                </c:pt>
                <c:pt idx="11">
                  <c:v>310.75</c:v>
                </c:pt>
                <c:pt idx="12">
                  <c:v>339</c:v>
                </c:pt>
                <c:pt idx="13">
                  <c:v>367.25</c:v>
                </c:pt>
                <c:pt idx="14">
                  <c:v>395.5</c:v>
                </c:pt>
                <c:pt idx="15">
                  <c:v>423.75</c:v>
                </c:pt>
                <c:pt idx="16">
                  <c:v>452</c:v>
                </c:pt>
                <c:pt idx="17">
                  <c:v>480.25</c:v>
                </c:pt>
                <c:pt idx="18">
                  <c:v>508.5</c:v>
                </c:pt>
                <c:pt idx="19">
                  <c:v>536.75</c:v>
                </c:pt>
                <c:pt idx="20">
                  <c:v>565</c:v>
                </c:pt>
                <c:pt idx="21">
                  <c:v>593.25</c:v>
                </c:pt>
                <c:pt idx="22">
                  <c:v>621.5</c:v>
                </c:pt>
                <c:pt idx="23">
                  <c:v>649.75</c:v>
                </c:pt>
                <c:pt idx="24">
                  <c:v>678</c:v>
                </c:pt>
                <c:pt idx="25">
                  <c:v>706.25</c:v>
                </c:pt>
                <c:pt idx="26">
                  <c:v>734.5</c:v>
                </c:pt>
                <c:pt idx="27">
                  <c:v>762.75</c:v>
                </c:pt>
                <c:pt idx="28">
                  <c:v>791</c:v>
                </c:pt>
                <c:pt idx="29">
                  <c:v>819.25</c:v>
                </c:pt>
                <c:pt idx="30">
                  <c:v>847.5</c:v>
                </c:pt>
                <c:pt idx="31">
                  <c:v>875.75</c:v>
                </c:pt>
                <c:pt idx="32">
                  <c:v>904</c:v>
                </c:pt>
                <c:pt idx="33">
                  <c:v>932.25</c:v>
                </c:pt>
                <c:pt idx="34">
                  <c:v>960.5</c:v>
                </c:pt>
                <c:pt idx="35">
                  <c:v>988.75</c:v>
                </c:pt>
                <c:pt idx="36">
                  <c:v>1017</c:v>
                </c:pt>
                <c:pt idx="37">
                  <c:v>1045.25</c:v>
                </c:pt>
                <c:pt idx="38">
                  <c:v>1073.5</c:v>
                </c:pt>
                <c:pt idx="39">
                  <c:v>1101.75</c:v>
                </c:pt>
                <c:pt idx="40">
                  <c:v>1130</c:v>
                </c:pt>
              </c:numCache>
            </c:numRef>
          </c:xVal>
          <c:yVal>
            <c:numRef>
              <c:f>Datos_Curvas!$K$5:$K$45</c:f>
              <c:numCache>
                <c:formatCode>0.0</c:formatCode>
                <c:ptCount val="41"/>
                <c:pt idx="0">
                  <c:v>321.309240174364</c:v>
                </c:pt>
                <c:pt idx="1">
                  <c:v>320.108175057921</c:v>
                </c:pt>
                <c:pt idx="2">
                  <c:v>319.021935046735</c:v>
                </c:pt>
                <c:pt idx="3">
                  <c:v>318.030940373465</c:v>
                </c:pt>
                <c:pt idx="4">
                  <c:v>317.115611270775</c:v>
                </c:pt>
                <c:pt idx="5">
                  <c:v>316.256367971325</c:v>
                </c:pt>
                <c:pt idx="6">
                  <c:v>315.433630707776</c:v>
                </c:pt>
                <c:pt idx="7">
                  <c:v>314.62781971279</c:v>
                </c:pt>
                <c:pt idx="8">
                  <c:v>313.819355219028</c:v>
                </c:pt>
                <c:pt idx="9">
                  <c:v>312.988657459151</c:v>
                </c:pt>
                <c:pt idx="10">
                  <c:v>312.11614666582</c:v>
                </c:pt>
                <c:pt idx="11">
                  <c:v>311.182243071698</c:v>
                </c:pt>
                <c:pt idx="12">
                  <c:v>310.167366909444</c:v>
                </c:pt>
                <c:pt idx="13">
                  <c:v>309.05193841172</c:v>
                </c:pt>
                <c:pt idx="14">
                  <c:v>307.816377811188</c:v>
                </c:pt>
                <c:pt idx="15">
                  <c:v>306.441105340509</c:v>
                </c:pt>
                <c:pt idx="16">
                  <c:v>304.906541232344</c:v>
                </c:pt>
                <c:pt idx="17">
                  <c:v>303.193105719355</c:v>
                </c:pt>
                <c:pt idx="18">
                  <c:v>301.281219034202</c:v>
                </c:pt>
                <c:pt idx="19">
                  <c:v>299.151301409547</c:v>
                </c:pt>
                <c:pt idx="20">
                  <c:v>296.783773078051</c:v>
                </c:pt>
                <c:pt idx="21">
                  <c:v>294.159054272376</c:v>
                </c:pt>
                <c:pt idx="22">
                  <c:v>291.257565225183</c:v>
                </c:pt>
                <c:pt idx="23">
                  <c:v>288.059726169132</c:v>
                </c:pt>
                <c:pt idx="24">
                  <c:v>284.545957336886</c:v>
                </c:pt>
                <c:pt idx="25">
                  <c:v>280.696678961105</c:v>
                </c:pt>
                <c:pt idx="26">
                  <c:v>276.492311274452</c:v>
                </c:pt>
                <c:pt idx="27">
                  <c:v>271.913274509586</c:v>
                </c:pt>
                <c:pt idx="28">
                  <c:v>266.93998889917</c:v>
                </c:pt>
                <c:pt idx="29">
                  <c:v>261.552874675864</c:v>
                </c:pt>
                <c:pt idx="30">
                  <c:v>255.732352072331</c:v>
                </c:pt>
                <c:pt idx="31">
                  <c:v>249.45884132123</c:v>
                </c:pt>
                <c:pt idx="32">
                  <c:v>242.712762655224</c:v>
                </c:pt>
                <c:pt idx="33">
                  <c:v>235.474536306974</c:v>
                </c:pt>
                <c:pt idx="34">
                  <c:v>227.724582509141</c:v>
                </c:pt>
                <c:pt idx="35">
                  <c:v>219.443321494386</c:v>
                </c:pt>
                <c:pt idx="36">
                  <c:v>210.611173495371</c:v>
                </c:pt>
                <c:pt idx="37">
                  <c:v>201.208558744757</c:v>
                </c:pt>
                <c:pt idx="38">
                  <c:v>191.215897475204</c:v>
                </c:pt>
                <c:pt idx="39">
                  <c:v>180.613609919376</c:v>
                </c:pt>
                <c:pt idx="40">
                  <c:v>169.382116309932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"η 60 %"</c:f>
              <c:strCache>
                <c:ptCount val="1"/>
                <c:pt idx="0">
                  <c:v>η 60 %</c:v>
                </c:pt>
              </c:strCache>
            </c:strRef>
          </c:tx>
          <c:spPr>
            <a:solidFill>
              <a:srgbClr val="a0522d"/>
            </a:solidFill>
            <a:ln w="12600">
              <a:solidFill>
                <a:srgbClr val="a0522d"/>
              </a:solidFill>
              <a:round/>
            </a:ln>
          </c:spPr>
          <c:marker>
            <c:symbol val="none"/>
          </c:marker>
          <c:dPt>
            <c:idx val="20"/>
            <c:marker>
              <c:symbol val="none"/>
            </c:marker>
          </c:dPt>
          <c:dLbls>
            <c:dLbl>
              <c:idx val="20"/>
              <c:spPr>
                <a:solidFill>
                  <a:srgbClr val="FFF8E7"/>
                </a:solidFill>
              </c:spPr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7f3f00"/>
                      </a:solidFill>
                      <a:latin typeface="Arial"/>
                    </a:defRPr>
                  </a:pPr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Datos_Curvas!$M$5:$M$25</c:f>
              <c:numCache>
                <c:formatCode>0.0</c:formatCode>
                <c:ptCount val="21"/>
                <c:pt idx="0">
                  <c:v>297.958783315958</c:v>
                </c:pt>
                <c:pt idx="1">
                  <c:v>299.7550108342</c:v>
                </c:pt>
                <c:pt idx="2">
                  <c:v>301.689150791249</c:v>
                </c:pt>
                <c:pt idx="3">
                  <c:v>303.761203187104</c:v>
                </c:pt>
                <c:pt idx="4">
                  <c:v>305.971168021767</c:v>
                </c:pt>
                <c:pt idx="5">
                  <c:v>308.319045295237</c:v>
                </c:pt>
                <c:pt idx="6">
                  <c:v>310.804835007514</c:v>
                </c:pt>
                <c:pt idx="7">
                  <c:v>313.428537158598</c:v>
                </c:pt>
                <c:pt idx="8">
                  <c:v>316.190151748489</c:v>
                </c:pt>
                <c:pt idx="9">
                  <c:v>319.089678777187</c:v>
                </c:pt>
                <c:pt idx="10">
                  <c:v>322.127118244692</c:v>
                </c:pt>
                <c:pt idx="11">
                  <c:v>325.302470151005</c:v>
                </c:pt>
                <c:pt idx="12">
                  <c:v>328.615734496124</c:v>
                </c:pt>
                <c:pt idx="13">
                  <c:v>332.06691128005</c:v>
                </c:pt>
                <c:pt idx="14">
                  <c:v>335.656000502784</c:v>
                </c:pt>
                <c:pt idx="15">
                  <c:v>339.383002164324</c:v>
                </c:pt>
                <c:pt idx="16">
                  <c:v>343.247916264671</c:v>
                </c:pt>
                <c:pt idx="17">
                  <c:v>347.250742803826</c:v>
                </c:pt>
                <c:pt idx="18">
                  <c:v>351.391481781787</c:v>
                </c:pt>
                <c:pt idx="19">
                  <c:v>355.670133198556</c:v>
                </c:pt>
                <c:pt idx="20">
                  <c:v>360.086697054132</c:v>
                </c:pt>
              </c:numCache>
            </c:numRef>
          </c:xVal>
          <c:yVal>
            <c:numRef>
              <c:f>Datos_Curvas!$N$5:$N$25</c:f>
              <c:numCache>
                <c:formatCode>0.0</c:formatCode>
                <c:ptCount val="21"/>
                <c:pt idx="0">
                  <c:v>153.83</c:v>
                </c:pt>
                <c:pt idx="1">
                  <c:v>159.2895</c:v>
                </c:pt>
                <c:pt idx="2">
                  <c:v>164.749</c:v>
                </c:pt>
                <c:pt idx="3">
                  <c:v>170.2085</c:v>
                </c:pt>
                <c:pt idx="4">
                  <c:v>175.668</c:v>
                </c:pt>
                <c:pt idx="5">
                  <c:v>181.1275</c:v>
                </c:pt>
                <c:pt idx="6">
                  <c:v>186.587</c:v>
                </c:pt>
                <c:pt idx="7">
                  <c:v>192.0465</c:v>
                </c:pt>
                <c:pt idx="8">
                  <c:v>197.506</c:v>
                </c:pt>
                <c:pt idx="9">
                  <c:v>202.9655</c:v>
                </c:pt>
                <c:pt idx="10">
                  <c:v>208.425</c:v>
                </c:pt>
                <c:pt idx="11">
                  <c:v>213.8845</c:v>
                </c:pt>
                <c:pt idx="12">
                  <c:v>219.344</c:v>
                </c:pt>
                <c:pt idx="13">
                  <c:v>224.8035</c:v>
                </c:pt>
                <c:pt idx="14">
                  <c:v>230.263</c:v>
                </c:pt>
                <c:pt idx="15">
                  <c:v>235.7225</c:v>
                </c:pt>
                <c:pt idx="16">
                  <c:v>241.182</c:v>
                </c:pt>
                <c:pt idx="17">
                  <c:v>246.6415</c:v>
                </c:pt>
                <c:pt idx="18">
                  <c:v>252.101</c:v>
                </c:pt>
                <c:pt idx="19">
                  <c:v>257.5605</c:v>
                </c:pt>
                <c:pt idx="20">
                  <c:v>263.02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"η 65 %"</c:f>
              <c:strCache>
                <c:ptCount val="1"/>
                <c:pt idx="0">
                  <c:v>η 65 %</c:v>
                </c:pt>
              </c:strCache>
            </c:strRef>
          </c:tx>
          <c:spPr>
            <a:solidFill>
              <a:srgbClr val="a0522d"/>
            </a:solidFill>
            <a:ln w="12600">
              <a:solidFill>
                <a:srgbClr val="a0522d"/>
              </a:solidFill>
              <a:round/>
            </a:ln>
          </c:spPr>
          <c:marker>
            <c:symbol val="none"/>
          </c:marker>
          <c:dPt>
            <c:idx val="20"/>
            <c:marker>
              <c:symbol val="none"/>
            </c:marker>
          </c:dPt>
          <c:dLbls>
            <c:dLbl>
              <c:idx val="20"/>
              <c:spPr>
                <a:solidFill>
                  <a:srgbClr val="FFF8E7"/>
                </a:solidFill>
              </c:spPr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7f3f00"/>
                      </a:solidFill>
                      <a:latin typeface="Arial"/>
                    </a:defRPr>
                  </a:pPr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Datos_Curvas!$P$5:$P$25</c:f>
              <c:numCache>
                <c:formatCode>0.0</c:formatCode>
                <c:ptCount val="21"/>
                <c:pt idx="0">
                  <c:v>369.812601163883</c:v>
                </c:pt>
                <c:pt idx="1">
                  <c:v>370.785185285538</c:v>
                </c:pt>
                <c:pt idx="2">
                  <c:v>371.944868047867</c:v>
                </c:pt>
                <c:pt idx="3">
                  <c:v>373.291649450871</c:v>
                </c:pt>
                <c:pt idx="4">
                  <c:v>374.82552949455</c:v>
                </c:pt>
                <c:pt idx="5">
                  <c:v>376.546508178903</c:v>
                </c:pt>
                <c:pt idx="6">
                  <c:v>378.454585503931</c:v>
                </c:pt>
                <c:pt idx="7">
                  <c:v>380.549761469633</c:v>
                </c:pt>
                <c:pt idx="8">
                  <c:v>382.83203607601</c:v>
                </c:pt>
                <c:pt idx="9">
                  <c:v>385.301409323062</c:v>
                </c:pt>
                <c:pt idx="10">
                  <c:v>387.957881210789</c:v>
                </c:pt>
                <c:pt idx="11">
                  <c:v>390.80145173919</c:v>
                </c:pt>
                <c:pt idx="12">
                  <c:v>393.832120908266</c:v>
                </c:pt>
                <c:pt idx="13">
                  <c:v>397.049888718016</c:v>
                </c:pt>
                <c:pt idx="14">
                  <c:v>400.454755168441</c:v>
                </c:pt>
                <c:pt idx="15">
                  <c:v>404.046720259541</c:v>
                </c:pt>
                <c:pt idx="16">
                  <c:v>407.825783991315</c:v>
                </c:pt>
                <c:pt idx="17">
                  <c:v>411.791946363764</c:v>
                </c:pt>
                <c:pt idx="18">
                  <c:v>415.945207376888</c:v>
                </c:pt>
                <c:pt idx="19">
                  <c:v>420.285567030686</c:v>
                </c:pt>
                <c:pt idx="20">
                  <c:v>424.813025325159</c:v>
                </c:pt>
              </c:numCache>
            </c:numRef>
          </c:xVal>
          <c:yVal>
            <c:numRef>
              <c:f>Datos_Curvas!$Q$5:$Q$25</c:f>
              <c:numCache>
                <c:formatCode>0.0</c:formatCode>
                <c:ptCount val="21"/>
                <c:pt idx="0">
                  <c:v>150.97</c:v>
                </c:pt>
                <c:pt idx="1">
                  <c:v>156.441</c:v>
                </c:pt>
                <c:pt idx="2">
                  <c:v>161.912</c:v>
                </c:pt>
                <c:pt idx="3">
                  <c:v>167.383</c:v>
                </c:pt>
                <c:pt idx="4">
                  <c:v>172.854</c:v>
                </c:pt>
                <c:pt idx="5">
                  <c:v>178.325</c:v>
                </c:pt>
                <c:pt idx="6">
                  <c:v>183.796</c:v>
                </c:pt>
                <c:pt idx="7">
                  <c:v>189.267</c:v>
                </c:pt>
                <c:pt idx="8">
                  <c:v>194.738</c:v>
                </c:pt>
                <c:pt idx="9">
                  <c:v>200.209</c:v>
                </c:pt>
                <c:pt idx="10">
                  <c:v>205.68</c:v>
                </c:pt>
                <c:pt idx="11">
                  <c:v>211.151</c:v>
                </c:pt>
                <c:pt idx="12">
                  <c:v>216.622</c:v>
                </c:pt>
                <c:pt idx="13">
                  <c:v>222.093</c:v>
                </c:pt>
                <c:pt idx="14">
                  <c:v>227.564</c:v>
                </c:pt>
                <c:pt idx="15">
                  <c:v>233.035</c:v>
                </c:pt>
                <c:pt idx="16">
                  <c:v>238.506</c:v>
                </c:pt>
                <c:pt idx="17">
                  <c:v>243.977</c:v>
                </c:pt>
                <c:pt idx="18">
                  <c:v>249.448</c:v>
                </c:pt>
                <c:pt idx="19">
                  <c:v>254.919</c:v>
                </c:pt>
                <c:pt idx="20">
                  <c:v>260.39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"η 70 %"</c:f>
              <c:strCache>
                <c:ptCount val="1"/>
                <c:pt idx="0">
                  <c:v>η 70 %</c:v>
                </c:pt>
              </c:strCache>
            </c:strRef>
          </c:tx>
          <c:spPr>
            <a:solidFill>
              <a:srgbClr val="a0522d"/>
            </a:solidFill>
            <a:ln w="12600">
              <a:solidFill>
                <a:srgbClr val="a0522d"/>
              </a:solidFill>
              <a:round/>
            </a:ln>
          </c:spPr>
          <c:marker>
            <c:symbol val="none"/>
          </c:marker>
          <c:dPt>
            <c:idx val="20"/>
            <c:marker>
              <c:symbol val="none"/>
            </c:marker>
          </c:dPt>
          <c:dLbls>
            <c:dLbl>
              <c:idx val="20"/>
              <c:spPr>
                <a:solidFill>
                  <a:srgbClr val="FFF8E7"/>
                </a:solidFill>
              </c:spPr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7f3f00"/>
                      </a:solidFill>
                      <a:latin typeface="Arial"/>
                    </a:defRPr>
                  </a:pPr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Datos_Curvas!$S$5:$S$25</c:f>
              <c:numCache>
                <c:formatCode>0.0</c:formatCode>
                <c:ptCount val="21"/>
                <c:pt idx="0">
                  <c:v>429.948359187186</c:v>
                </c:pt>
                <c:pt idx="1">
                  <c:v>432.36591738461</c:v>
                </c:pt>
                <c:pt idx="2">
                  <c:v>434.899770629072</c:v>
                </c:pt>
                <c:pt idx="3">
                  <c:v>437.549918920574</c:v>
                </c:pt>
                <c:pt idx="4">
                  <c:v>440.316362259114</c:v>
                </c:pt>
                <c:pt idx="5">
                  <c:v>443.199100644694</c:v>
                </c:pt>
                <c:pt idx="6">
                  <c:v>446.198134077313</c:v>
                </c:pt>
                <c:pt idx="7">
                  <c:v>449.313462556971</c:v>
                </c:pt>
                <c:pt idx="8">
                  <c:v>452.545086083668</c:v>
                </c:pt>
                <c:pt idx="9">
                  <c:v>455.893004657404</c:v>
                </c:pt>
                <c:pt idx="10">
                  <c:v>459.357218278179</c:v>
                </c:pt>
                <c:pt idx="11">
                  <c:v>462.937726945993</c:v>
                </c:pt>
                <c:pt idx="12">
                  <c:v>466.634530660847</c:v>
                </c:pt>
                <c:pt idx="13">
                  <c:v>470.447629422739</c:v>
                </c:pt>
                <c:pt idx="14">
                  <c:v>474.377023231671</c:v>
                </c:pt>
                <c:pt idx="15">
                  <c:v>478.422712087641</c:v>
                </c:pt>
                <c:pt idx="16">
                  <c:v>482.584695990651</c:v>
                </c:pt>
                <c:pt idx="17">
                  <c:v>486.8629749407</c:v>
                </c:pt>
                <c:pt idx="18">
                  <c:v>491.257548937788</c:v>
                </c:pt>
                <c:pt idx="19">
                  <c:v>495.768417981915</c:v>
                </c:pt>
                <c:pt idx="20">
                  <c:v>500.395582073081</c:v>
                </c:pt>
              </c:numCache>
            </c:numRef>
          </c:xVal>
          <c:yVal>
            <c:numRef>
              <c:f>Datos_Curvas!$T$5:$T$25</c:f>
              <c:numCache>
                <c:formatCode>0.0</c:formatCode>
                <c:ptCount val="21"/>
                <c:pt idx="0">
                  <c:v>147.66</c:v>
                </c:pt>
                <c:pt idx="1">
                  <c:v>153.094</c:v>
                </c:pt>
                <c:pt idx="2">
                  <c:v>158.528</c:v>
                </c:pt>
                <c:pt idx="3">
                  <c:v>163.962</c:v>
                </c:pt>
                <c:pt idx="4">
                  <c:v>169.396</c:v>
                </c:pt>
                <c:pt idx="5">
                  <c:v>174.83</c:v>
                </c:pt>
                <c:pt idx="6">
                  <c:v>180.264</c:v>
                </c:pt>
                <c:pt idx="7">
                  <c:v>185.698</c:v>
                </c:pt>
                <c:pt idx="8">
                  <c:v>191.132</c:v>
                </c:pt>
                <c:pt idx="9">
                  <c:v>196.566</c:v>
                </c:pt>
                <c:pt idx="10">
                  <c:v>202</c:v>
                </c:pt>
                <c:pt idx="11">
                  <c:v>207.434</c:v>
                </c:pt>
                <c:pt idx="12">
                  <c:v>212.868</c:v>
                </c:pt>
                <c:pt idx="13">
                  <c:v>218.302</c:v>
                </c:pt>
                <c:pt idx="14">
                  <c:v>223.736</c:v>
                </c:pt>
                <c:pt idx="15">
                  <c:v>229.17</c:v>
                </c:pt>
                <c:pt idx="16">
                  <c:v>234.604</c:v>
                </c:pt>
                <c:pt idx="17">
                  <c:v>240.038</c:v>
                </c:pt>
                <c:pt idx="18">
                  <c:v>245.472</c:v>
                </c:pt>
                <c:pt idx="19">
                  <c:v>250.906</c:v>
                </c:pt>
                <c:pt idx="20">
                  <c:v>256.34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"η 75 %"</c:f>
              <c:strCache>
                <c:ptCount val="1"/>
                <c:pt idx="0">
                  <c:v>η 75 %</c:v>
                </c:pt>
              </c:strCache>
            </c:strRef>
          </c:tx>
          <c:spPr>
            <a:solidFill>
              <a:srgbClr val="a0522d"/>
            </a:solidFill>
            <a:ln w="12600">
              <a:solidFill>
                <a:srgbClr val="a0522d"/>
              </a:solidFill>
              <a:round/>
            </a:ln>
          </c:spPr>
          <c:marker>
            <c:symbol val="none"/>
          </c:marker>
          <c:dPt>
            <c:idx val="20"/>
            <c:marker>
              <c:symbol val="none"/>
            </c:marker>
          </c:dPt>
          <c:dLbls>
            <c:dLbl>
              <c:idx val="20"/>
              <c:spPr>
                <a:solidFill>
                  <a:srgbClr val="FFF8E7"/>
                </a:solidFill>
              </c:spPr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7f3f00"/>
                      </a:solidFill>
                      <a:latin typeface="Arial"/>
                    </a:defRPr>
                  </a:pPr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Datos_Curvas!$V$5:$V$25</c:f>
              <c:numCache>
                <c:formatCode>0.0</c:formatCode>
                <c:ptCount val="21"/>
                <c:pt idx="0">
                  <c:v>497.361507912126</c:v>
                </c:pt>
                <c:pt idx="1">
                  <c:v>499.871206757857</c:v>
                </c:pt>
                <c:pt idx="2">
                  <c:v>502.587861600956</c:v>
                </c:pt>
                <c:pt idx="3">
                  <c:v>505.511472441421</c:v>
                </c:pt>
                <c:pt idx="4">
                  <c:v>508.642039279253</c:v>
                </c:pt>
                <c:pt idx="5">
                  <c:v>511.979562114452</c:v>
                </c:pt>
                <c:pt idx="6">
                  <c:v>515.524040947017</c:v>
                </c:pt>
                <c:pt idx="7">
                  <c:v>519.275475776949</c:v>
                </c:pt>
                <c:pt idx="8">
                  <c:v>523.233866604247</c:v>
                </c:pt>
                <c:pt idx="9">
                  <c:v>527.399213428913</c:v>
                </c:pt>
                <c:pt idx="10">
                  <c:v>531.771516250945</c:v>
                </c:pt>
                <c:pt idx="11">
                  <c:v>536.350775070344</c:v>
                </c:pt>
                <c:pt idx="12">
                  <c:v>541.136989887109</c:v>
                </c:pt>
                <c:pt idx="13">
                  <c:v>546.130160701241</c:v>
                </c:pt>
                <c:pt idx="14">
                  <c:v>551.33028751274</c:v>
                </c:pt>
                <c:pt idx="15">
                  <c:v>556.737370321605</c:v>
                </c:pt>
                <c:pt idx="16">
                  <c:v>562.351409127838</c:v>
                </c:pt>
                <c:pt idx="17">
                  <c:v>568.172403931436</c:v>
                </c:pt>
                <c:pt idx="18">
                  <c:v>574.200354732402</c:v>
                </c:pt>
                <c:pt idx="19">
                  <c:v>580.435261530734</c:v>
                </c:pt>
                <c:pt idx="20">
                  <c:v>586.877124326433</c:v>
                </c:pt>
              </c:numCache>
            </c:numRef>
          </c:xVal>
          <c:yVal>
            <c:numRef>
              <c:f>Datos_Curvas!$W$5:$W$25</c:f>
              <c:numCache>
                <c:formatCode>0.0</c:formatCode>
                <c:ptCount val="21"/>
                <c:pt idx="0">
                  <c:v>142.72</c:v>
                </c:pt>
                <c:pt idx="1">
                  <c:v>148.084</c:v>
                </c:pt>
                <c:pt idx="2">
                  <c:v>153.448</c:v>
                </c:pt>
                <c:pt idx="3">
                  <c:v>158.812</c:v>
                </c:pt>
                <c:pt idx="4">
                  <c:v>164.176</c:v>
                </c:pt>
                <c:pt idx="5">
                  <c:v>169.54</c:v>
                </c:pt>
                <c:pt idx="6">
                  <c:v>174.904</c:v>
                </c:pt>
                <c:pt idx="7">
                  <c:v>180.268</c:v>
                </c:pt>
                <c:pt idx="8">
                  <c:v>185.632</c:v>
                </c:pt>
                <c:pt idx="9">
                  <c:v>190.996</c:v>
                </c:pt>
                <c:pt idx="10">
                  <c:v>196.36</c:v>
                </c:pt>
                <c:pt idx="11">
                  <c:v>201.724</c:v>
                </c:pt>
                <c:pt idx="12">
                  <c:v>207.088</c:v>
                </c:pt>
                <c:pt idx="13">
                  <c:v>212.452</c:v>
                </c:pt>
                <c:pt idx="14">
                  <c:v>217.816</c:v>
                </c:pt>
                <c:pt idx="15">
                  <c:v>223.18</c:v>
                </c:pt>
                <c:pt idx="16">
                  <c:v>228.544</c:v>
                </c:pt>
                <c:pt idx="17">
                  <c:v>233.908</c:v>
                </c:pt>
                <c:pt idx="18">
                  <c:v>239.272</c:v>
                </c:pt>
                <c:pt idx="19">
                  <c:v>244.636</c:v>
                </c:pt>
                <c:pt idx="20">
                  <c:v>250</c:v>
                </c:pt>
              </c:numCache>
            </c:numRef>
          </c:yVal>
          <c:smooth val="1"/>
        </c:ser>
        <c:ser>
          <c:idx val="8"/>
          <c:order val="8"/>
          <c:tx>
            <c:strRef>
              <c:f>"η 78 %"</c:f>
              <c:strCache>
                <c:ptCount val="1"/>
                <c:pt idx="0">
                  <c:v>η 78 %</c:v>
                </c:pt>
              </c:strCache>
            </c:strRef>
          </c:tx>
          <c:spPr>
            <a:solidFill>
              <a:srgbClr val="a0522d"/>
            </a:solidFill>
            <a:ln w="12600">
              <a:solidFill>
                <a:srgbClr val="a0522d"/>
              </a:solidFill>
              <a:round/>
            </a:ln>
          </c:spPr>
          <c:marker>
            <c:symbol val="none"/>
          </c:marker>
          <c:dPt>
            <c:idx val="20"/>
            <c:marker>
              <c:symbol val="none"/>
            </c:marker>
          </c:dPt>
          <c:dLbls>
            <c:dLbl>
              <c:idx val="20"/>
              <c:spPr>
                <a:solidFill>
                  <a:srgbClr val="FFF8E7"/>
                </a:solidFill>
              </c:spPr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7f3f00"/>
                      </a:solidFill>
                      <a:latin typeface="Arial"/>
                    </a:defRPr>
                  </a:pPr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Datos_Curvas!$Y$5:$Y$25</c:f>
              <c:numCache>
                <c:formatCode>0.0</c:formatCode>
                <c:ptCount val="21"/>
                <c:pt idx="0">
                  <c:v>557.186110657084</c:v>
                </c:pt>
                <c:pt idx="1">
                  <c:v>559.829781765222</c:v>
                </c:pt>
                <c:pt idx="2">
                  <c:v>562.709864274643</c:v>
                </c:pt>
                <c:pt idx="3">
                  <c:v>565.826358185348</c:v>
                </c:pt>
                <c:pt idx="4">
                  <c:v>569.179263497336</c:v>
                </c:pt>
                <c:pt idx="5">
                  <c:v>572.768580210608</c:v>
                </c:pt>
                <c:pt idx="6">
                  <c:v>576.594308325162</c:v>
                </c:pt>
                <c:pt idx="7">
                  <c:v>580.656447841</c:v>
                </c:pt>
                <c:pt idx="8">
                  <c:v>584.954998758121</c:v>
                </c:pt>
                <c:pt idx="9">
                  <c:v>589.489961076526</c:v>
                </c:pt>
                <c:pt idx="10">
                  <c:v>594.261334796214</c:v>
                </c:pt>
                <c:pt idx="11">
                  <c:v>599.269119917185</c:v>
                </c:pt>
                <c:pt idx="12">
                  <c:v>604.513316439439</c:v>
                </c:pt>
                <c:pt idx="13">
                  <c:v>609.993924362977</c:v>
                </c:pt>
                <c:pt idx="14">
                  <c:v>615.710943687798</c:v>
                </c:pt>
                <c:pt idx="15">
                  <c:v>621.664374413902</c:v>
                </c:pt>
                <c:pt idx="16">
                  <c:v>627.85421654129</c:v>
                </c:pt>
                <c:pt idx="17">
                  <c:v>634.280470069961</c:v>
                </c:pt>
                <c:pt idx="18">
                  <c:v>640.943134999915</c:v>
                </c:pt>
                <c:pt idx="19">
                  <c:v>647.842211331153</c:v>
                </c:pt>
                <c:pt idx="20">
                  <c:v>654.977699063674</c:v>
                </c:pt>
              </c:numCache>
            </c:numRef>
          </c:xVal>
          <c:yVal>
            <c:numRef>
              <c:f>Datos_Curvas!$Z$5:$Z$25</c:f>
              <c:numCache>
                <c:formatCode>0.0</c:formatCode>
                <c:ptCount val="21"/>
                <c:pt idx="0">
                  <c:v>137.05</c:v>
                </c:pt>
                <c:pt idx="1">
                  <c:v>142.368</c:v>
                </c:pt>
                <c:pt idx="2">
                  <c:v>147.686</c:v>
                </c:pt>
                <c:pt idx="3">
                  <c:v>153.004</c:v>
                </c:pt>
                <c:pt idx="4">
                  <c:v>158.322</c:v>
                </c:pt>
                <c:pt idx="5">
                  <c:v>163.64</c:v>
                </c:pt>
                <c:pt idx="6">
                  <c:v>168.958</c:v>
                </c:pt>
                <c:pt idx="7">
                  <c:v>174.276</c:v>
                </c:pt>
                <c:pt idx="8">
                  <c:v>179.594</c:v>
                </c:pt>
                <c:pt idx="9">
                  <c:v>184.912</c:v>
                </c:pt>
                <c:pt idx="10">
                  <c:v>190.23</c:v>
                </c:pt>
                <c:pt idx="11">
                  <c:v>195.548</c:v>
                </c:pt>
                <c:pt idx="12">
                  <c:v>200.866</c:v>
                </c:pt>
                <c:pt idx="13">
                  <c:v>206.184</c:v>
                </c:pt>
                <c:pt idx="14">
                  <c:v>211.502</c:v>
                </c:pt>
                <c:pt idx="15">
                  <c:v>216.82</c:v>
                </c:pt>
                <c:pt idx="16">
                  <c:v>222.138</c:v>
                </c:pt>
                <c:pt idx="17">
                  <c:v>227.456</c:v>
                </c:pt>
                <c:pt idx="18">
                  <c:v>232.774</c:v>
                </c:pt>
                <c:pt idx="19">
                  <c:v>238.092</c:v>
                </c:pt>
                <c:pt idx="20">
                  <c:v>243.41</c:v>
                </c:pt>
              </c:numCache>
            </c:numRef>
          </c:yVal>
          <c:smooth val="1"/>
        </c:ser>
        <c:ser>
          <c:idx val="9"/>
          <c:order val="9"/>
          <c:tx>
            <c:strRef>
              <c:f>"η 79 %"</c:f>
              <c:strCache>
                <c:ptCount val="1"/>
                <c:pt idx="0">
                  <c:v>η 79 %</c:v>
                </c:pt>
              </c:strCache>
            </c:strRef>
          </c:tx>
          <c:spPr>
            <a:solidFill>
              <a:srgbClr val="a0522d"/>
            </a:solidFill>
            <a:ln w="12600">
              <a:solidFill>
                <a:srgbClr val="a0522d"/>
              </a:solidFill>
              <a:round/>
            </a:ln>
          </c:spPr>
          <c:marker>
            <c:symbol val="none"/>
          </c:marker>
          <c:dPt>
            <c:idx val="20"/>
            <c:marker>
              <c:symbol val="none"/>
            </c:marker>
          </c:dPt>
          <c:dLbls>
            <c:dLbl>
              <c:idx val="20"/>
              <c:spPr>
                <a:solidFill>
                  <a:srgbClr val="FFF8E7"/>
                </a:solidFill>
              </c:spPr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7f3f00"/>
                      </a:solidFill>
                      <a:latin typeface="Arial"/>
                    </a:defRPr>
                  </a:pPr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Datos_Curvas!$AB$5:$AB$25</c:f>
              <c:numCache>
                <c:formatCode>0.0</c:formatCode>
                <c:ptCount val="21"/>
                <c:pt idx="0">
                  <c:v>615.755915087209</c:v>
                </c:pt>
                <c:pt idx="1">
                  <c:v>616.875076585094</c:v>
                </c:pt>
                <c:pt idx="2">
                  <c:v>618.319079569802</c:v>
                </c:pt>
                <c:pt idx="3">
                  <c:v>620.08792404133</c:v>
                </c:pt>
                <c:pt idx="4">
                  <c:v>622.181609999681</c:v>
                </c:pt>
                <c:pt idx="5">
                  <c:v>624.600137444854</c:v>
                </c:pt>
                <c:pt idx="6">
                  <c:v>627.343506376848</c:v>
                </c:pt>
                <c:pt idx="7">
                  <c:v>630.411716795665</c:v>
                </c:pt>
                <c:pt idx="8">
                  <c:v>633.804768701303</c:v>
                </c:pt>
                <c:pt idx="9">
                  <c:v>637.522662093763</c:v>
                </c:pt>
                <c:pt idx="10">
                  <c:v>641.565396973045</c:v>
                </c:pt>
                <c:pt idx="11">
                  <c:v>645.932973339149</c:v>
                </c:pt>
                <c:pt idx="12">
                  <c:v>650.625391192075</c:v>
                </c:pt>
                <c:pt idx="13">
                  <c:v>655.642650531822</c:v>
                </c:pt>
                <c:pt idx="14">
                  <c:v>660.984751358392</c:v>
                </c:pt>
                <c:pt idx="15">
                  <c:v>666.651693671783</c:v>
                </c:pt>
                <c:pt idx="16">
                  <c:v>672.643477471996</c:v>
                </c:pt>
                <c:pt idx="17">
                  <c:v>678.960102759031</c:v>
                </c:pt>
                <c:pt idx="18">
                  <c:v>685.601569532888</c:v>
                </c:pt>
                <c:pt idx="19">
                  <c:v>692.567877793566</c:v>
                </c:pt>
                <c:pt idx="20">
                  <c:v>699.859027541067</c:v>
                </c:pt>
              </c:numCache>
            </c:numRef>
          </c:xVal>
          <c:yVal>
            <c:numRef>
              <c:f>Datos_Curvas!$AC$5:$AC$25</c:f>
              <c:numCache>
                <c:formatCode>0.0</c:formatCode>
                <c:ptCount val="21"/>
                <c:pt idx="0">
                  <c:v>130.16</c:v>
                </c:pt>
                <c:pt idx="1">
                  <c:v>135.56</c:v>
                </c:pt>
                <c:pt idx="2">
                  <c:v>140.96</c:v>
                </c:pt>
                <c:pt idx="3">
                  <c:v>146.36</c:v>
                </c:pt>
                <c:pt idx="4">
                  <c:v>151.76</c:v>
                </c:pt>
                <c:pt idx="5">
                  <c:v>157.16</c:v>
                </c:pt>
                <c:pt idx="6">
                  <c:v>162.56</c:v>
                </c:pt>
                <c:pt idx="7">
                  <c:v>167.96</c:v>
                </c:pt>
                <c:pt idx="8">
                  <c:v>173.36</c:v>
                </c:pt>
                <c:pt idx="9">
                  <c:v>178.76</c:v>
                </c:pt>
                <c:pt idx="10">
                  <c:v>184.16</c:v>
                </c:pt>
                <c:pt idx="11">
                  <c:v>189.56</c:v>
                </c:pt>
                <c:pt idx="12">
                  <c:v>194.96</c:v>
                </c:pt>
                <c:pt idx="13">
                  <c:v>200.36</c:v>
                </c:pt>
                <c:pt idx="14">
                  <c:v>205.76</c:v>
                </c:pt>
                <c:pt idx="15">
                  <c:v>211.16</c:v>
                </c:pt>
                <c:pt idx="16">
                  <c:v>216.56</c:v>
                </c:pt>
                <c:pt idx="17">
                  <c:v>221.96</c:v>
                </c:pt>
                <c:pt idx="18">
                  <c:v>227.36</c:v>
                </c:pt>
                <c:pt idx="19">
                  <c:v>232.76</c:v>
                </c:pt>
                <c:pt idx="20">
                  <c:v>238.16</c:v>
                </c:pt>
              </c:numCache>
            </c:numRef>
          </c:yVal>
          <c:smooth val="1"/>
        </c:ser>
        <c:ser>
          <c:idx val="10"/>
          <c:order val="10"/>
          <c:tx>
            <c:strRef>
              <c:f>"η 80 %"</c:f>
              <c:strCache>
                <c:ptCount val="1"/>
                <c:pt idx="0">
                  <c:v>η 80 %</c:v>
                </c:pt>
              </c:strCache>
            </c:strRef>
          </c:tx>
          <c:spPr>
            <a:solidFill>
              <a:srgbClr val="a0522d"/>
            </a:solidFill>
            <a:ln w="12600">
              <a:solidFill>
                <a:srgbClr val="a0522d"/>
              </a:solidFill>
              <a:round/>
            </a:ln>
          </c:spPr>
          <c:marker>
            <c:symbol val="none"/>
          </c:marker>
          <c:dPt>
            <c:idx val="20"/>
            <c:marker>
              <c:symbol val="none"/>
            </c:marker>
          </c:dPt>
          <c:dLbls>
            <c:dLbl>
              <c:idx val="20"/>
              <c:spPr>
                <a:solidFill>
                  <a:srgbClr val="FFF8E7"/>
                </a:solidFill>
              </c:spPr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7f3f00"/>
                      </a:solidFill>
                      <a:latin typeface="Arial"/>
                    </a:defRPr>
                  </a:pPr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Datos_Curvas!$AE$5:$AE$25</c:f>
              <c:numCache>
                <c:formatCode>0.0</c:formatCode>
                <c:ptCount val="21"/>
                <c:pt idx="0">
                  <c:v>736.999644321043</c:v>
                </c:pt>
                <c:pt idx="1">
                  <c:v>729.187787364587</c:v>
                </c:pt>
                <c:pt idx="2">
                  <c:v>722.903573394184</c:v>
                </c:pt>
                <c:pt idx="3">
                  <c:v>718.022583213823</c:v>
                </c:pt>
                <c:pt idx="4">
                  <c:v>714.420397627512</c:v>
                </c:pt>
                <c:pt idx="5">
                  <c:v>711.97259743925</c:v>
                </c:pt>
                <c:pt idx="6">
                  <c:v>710.554763453027</c:v>
                </c:pt>
                <c:pt idx="7">
                  <c:v>710.04247647285</c:v>
                </c:pt>
                <c:pt idx="8">
                  <c:v>710.311317302717</c:v>
                </c:pt>
                <c:pt idx="9">
                  <c:v>711.23686674663</c:v>
                </c:pt>
                <c:pt idx="10">
                  <c:v>712.694705608576</c:v>
                </c:pt>
                <c:pt idx="11">
                  <c:v>714.56041469257</c:v>
                </c:pt>
                <c:pt idx="12">
                  <c:v>716.709574802599</c:v>
                </c:pt>
                <c:pt idx="13">
                  <c:v>719.017766742668</c:v>
                </c:pt>
                <c:pt idx="14">
                  <c:v>721.360571316773</c:v>
                </c:pt>
                <c:pt idx="15">
                  <c:v>723.613569328911</c:v>
                </c:pt>
                <c:pt idx="16">
                  <c:v>725.652341583083</c:v>
                </c:pt>
                <c:pt idx="17">
                  <c:v>727.352468883298</c:v>
                </c:pt>
                <c:pt idx="18">
                  <c:v>728.589532033541</c:v>
                </c:pt>
                <c:pt idx="19">
                  <c:v>729.239111837815</c:v>
                </c:pt>
                <c:pt idx="20">
                  <c:v>729.17678910012</c:v>
                </c:pt>
              </c:numCache>
            </c:numRef>
          </c:xVal>
          <c:yVal>
            <c:numRef>
              <c:f>Datos_Curvas!$AF$5:$AF$25</c:f>
              <c:numCache>
                <c:formatCode>0.0</c:formatCode>
                <c:ptCount val="21"/>
                <c:pt idx="0">
                  <c:v>172</c:v>
                </c:pt>
                <c:pt idx="1">
                  <c:v>175.1155</c:v>
                </c:pt>
                <c:pt idx="2">
                  <c:v>178.231</c:v>
                </c:pt>
                <c:pt idx="3">
                  <c:v>181.3465</c:v>
                </c:pt>
                <c:pt idx="4">
                  <c:v>184.462</c:v>
                </c:pt>
                <c:pt idx="5">
                  <c:v>187.5775</c:v>
                </c:pt>
                <c:pt idx="6">
                  <c:v>190.693</c:v>
                </c:pt>
                <c:pt idx="7">
                  <c:v>193.8085</c:v>
                </c:pt>
                <c:pt idx="8">
                  <c:v>196.924</c:v>
                </c:pt>
                <c:pt idx="9">
                  <c:v>200.0395</c:v>
                </c:pt>
                <c:pt idx="10">
                  <c:v>203.155</c:v>
                </c:pt>
                <c:pt idx="11">
                  <c:v>206.2705</c:v>
                </c:pt>
                <c:pt idx="12">
                  <c:v>209.386</c:v>
                </c:pt>
                <c:pt idx="13">
                  <c:v>212.5015</c:v>
                </c:pt>
                <c:pt idx="14">
                  <c:v>215.617</c:v>
                </c:pt>
                <c:pt idx="15">
                  <c:v>218.7325</c:v>
                </c:pt>
                <c:pt idx="16">
                  <c:v>221.848</c:v>
                </c:pt>
                <c:pt idx="17">
                  <c:v>224.9635</c:v>
                </c:pt>
                <c:pt idx="18">
                  <c:v>228.079</c:v>
                </c:pt>
                <c:pt idx="19">
                  <c:v>231.1945</c:v>
                </c:pt>
                <c:pt idx="20">
                  <c:v>234.31</c:v>
                </c:pt>
              </c:numCache>
            </c:numRef>
          </c:yVal>
          <c:smooth val="1"/>
        </c:ser>
        <c:ser>
          <c:idx val="11"/>
          <c:order val="11"/>
          <c:tx>
            <c:strRef>
              <c:f>"η 80 %"</c:f>
              <c:strCache>
                <c:ptCount val="1"/>
                <c:pt idx="0">
                  <c:v>η 80 %</c:v>
                </c:pt>
              </c:strCache>
            </c:strRef>
          </c:tx>
          <c:spPr>
            <a:solidFill>
              <a:srgbClr val="a0522d"/>
            </a:solidFill>
            <a:ln w="12600">
              <a:solidFill>
                <a:srgbClr val="a0522d"/>
              </a:solidFill>
              <a:round/>
            </a:ln>
          </c:spPr>
          <c:marker>
            <c:symbol val="none"/>
          </c:marker>
          <c:dPt>
            <c:idx val="20"/>
            <c:marker>
              <c:symbol val="none"/>
            </c:marker>
          </c:dPt>
          <c:dLbls>
            <c:dLbl>
              <c:idx val="20"/>
              <c:spPr>
                <a:solidFill>
                  <a:srgbClr val="FFF8E7"/>
                </a:solidFill>
              </c:spPr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7f3f00"/>
                      </a:solidFill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Datos_Curvas!$AH$5:$AH$25</c:f>
              <c:numCache>
                <c:formatCode>0.0</c:formatCode>
                <c:ptCount val="21"/>
                <c:pt idx="0">
                  <c:v>737.000274495875</c:v>
                </c:pt>
                <c:pt idx="1">
                  <c:v>749.107134586313</c:v>
                </c:pt>
                <c:pt idx="2">
                  <c:v>760.674841197482</c:v>
                </c:pt>
                <c:pt idx="3">
                  <c:v>771.703394329383</c:v>
                </c:pt>
                <c:pt idx="4">
                  <c:v>782.192793982014</c:v>
                </c:pt>
                <c:pt idx="5">
                  <c:v>792.143040155378</c:v>
                </c:pt>
                <c:pt idx="6">
                  <c:v>801.554132849471</c:v>
                </c:pt>
                <c:pt idx="7">
                  <c:v>810.426072064298</c:v>
                </c:pt>
                <c:pt idx="8">
                  <c:v>818.758857799855</c:v>
                </c:pt>
                <c:pt idx="9">
                  <c:v>826.552490056143</c:v>
                </c:pt>
                <c:pt idx="10">
                  <c:v>833.806968833163</c:v>
                </c:pt>
                <c:pt idx="11">
                  <c:v>840.522294130914</c:v>
                </c:pt>
                <c:pt idx="12">
                  <c:v>846.698465949396</c:v>
                </c:pt>
                <c:pt idx="13">
                  <c:v>852.33548428861</c:v>
                </c:pt>
                <c:pt idx="14">
                  <c:v>857.433349148555</c:v>
                </c:pt>
                <c:pt idx="15">
                  <c:v>861.992060529231</c:v>
                </c:pt>
                <c:pt idx="16">
                  <c:v>866.011618430638</c:v>
                </c:pt>
                <c:pt idx="17">
                  <c:v>869.492022852777</c:v>
                </c:pt>
                <c:pt idx="18">
                  <c:v>872.433273795647</c:v>
                </c:pt>
                <c:pt idx="19">
                  <c:v>874.835371259249</c:v>
                </c:pt>
                <c:pt idx="20">
                  <c:v>876.698315243582</c:v>
                </c:pt>
              </c:numCache>
            </c:numRef>
          </c:xVal>
          <c:yVal>
            <c:numRef>
              <c:f>Datos_Curvas!$AI$5:$AI$25</c:f>
              <c:numCache>
                <c:formatCode>0.0</c:formatCode>
                <c:ptCount val="21"/>
                <c:pt idx="0">
                  <c:v>172</c:v>
                </c:pt>
                <c:pt idx="1">
                  <c:v>173.853</c:v>
                </c:pt>
                <c:pt idx="2">
                  <c:v>175.706</c:v>
                </c:pt>
                <c:pt idx="3">
                  <c:v>177.559</c:v>
                </c:pt>
                <c:pt idx="4">
                  <c:v>179.412</c:v>
                </c:pt>
                <c:pt idx="5">
                  <c:v>181.265</c:v>
                </c:pt>
                <c:pt idx="6">
                  <c:v>183.118</c:v>
                </c:pt>
                <c:pt idx="7">
                  <c:v>184.971</c:v>
                </c:pt>
                <c:pt idx="8">
                  <c:v>186.824</c:v>
                </c:pt>
                <c:pt idx="9">
                  <c:v>188.677</c:v>
                </c:pt>
                <c:pt idx="10">
                  <c:v>190.53</c:v>
                </c:pt>
                <c:pt idx="11">
                  <c:v>192.383</c:v>
                </c:pt>
                <c:pt idx="12">
                  <c:v>194.236</c:v>
                </c:pt>
                <c:pt idx="13">
                  <c:v>196.089</c:v>
                </c:pt>
                <c:pt idx="14">
                  <c:v>197.942</c:v>
                </c:pt>
                <c:pt idx="15">
                  <c:v>199.795</c:v>
                </c:pt>
                <c:pt idx="16">
                  <c:v>201.648</c:v>
                </c:pt>
                <c:pt idx="17">
                  <c:v>203.501</c:v>
                </c:pt>
                <c:pt idx="18">
                  <c:v>205.354</c:v>
                </c:pt>
                <c:pt idx="19">
                  <c:v>207.207</c:v>
                </c:pt>
                <c:pt idx="20">
                  <c:v>209.06</c:v>
                </c:pt>
              </c:numCache>
            </c:numRef>
          </c:yVal>
          <c:smooth val="1"/>
        </c:ser>
        <c:ser>
          <c:idx val="12"/>
          <c:order val="12"/>
          <c:tx>
            <c:strRef>
              <c:f>"η 79 %"</c:f>
              <c:strCache>
                <c:ptCount val="1"/>
                <c:pt idx="0">
                  <c:v>η 79 %</c:v>
                </c:pt>
              </c:strCache>
            </c:strRef>
          </c:tx>
          <c:spPr>
            <a:solidFill>
              <a:srgbClr val="a0522d"/>
            </a:solidFill>
            <a:ln w="12600">
              <a:solidFill>
                <a:srgbClr val="a0522d"/>
              </a:solidFill>
              <a:round/>
            </a:ln>
          </c:spPr>
          <c:marker>
            <c:symbol val="none"/>
          </c:marker>
          <c:dPt>
            <c:idx val="20"/>
            <c:marker>
              <c:symbol val="none"/>
            </c:marker>
          </c:dPt>
          <c:dLbls>
            <c:dLbl>
              <c:idx val="20"/>
              <c:spPr>
                <a:solidFill>
                  <a:srgbClr val="FFF8E7"/>
                </a:solidFill>
              </c:spPr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7f3f00"/>
                      </a:solidFill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Datos_Curvas!$AK$5:$AK$25</c:f>
              <c:numCache>
                <c:formatCode>0.0</c:formatCode>
                <c:ptCount val="21"/>
                <c:pt idx="0">
                  <c:v>654.107101298067</c:v>
                </c:pt>
                <c:pt idx="1">
                  <c:v>679.659515456972</c:v>
                </c:pt>
                <c:pt idx="2">
                  <c:v>702.899504130584</c:v>
                </c:pt>
                <c:pt idx="3">
                  <c:v>723.995242080402</c:v>
                </c:pt>
                <c:pt idx="4">
                  <c:v>743.114904067912</c:v>
                </c:pt>
                <c:pt idx="5">
                  <c:v>760.426664854608</c:v>
                </c:pt>
                <c:pt idx="6">
                  <c:v>776.098699201986</c:v>
                </c:pt>
                <c:pt idx="7">
                  <c:v>790.299181871531</c:v>
                </c:pt>
                <c:pt idx="8">
                  <c:v>803.196287624742</c:v>
                </c:pt>
                <c:pt idx="9">
                  <c:v>814.958191223106</c:v>
                </c:pt>
                <c:pt idx="10">
                  <c:v>825.753067428117</c:v>
                </c:pt>
                <c:pt idx="11">
                  <c:v>835.749091001268</c:v>
                </c:pt>
                <c:pt idx="12">
                  <c:v>845.114436704049</c:v>
                </c:pt>
                <c:pt idx="13">
                  <c:v>854.017279297952</c:v>
                </c:pt>
                <c:pt idx="14">
                  <c:v>862.625793544471</c:v>
                </c:pt>
                <c:pt idx="15">
                  <c:v>871.108154205097</c:v>
                </c:pt>
                <c:pt idx="16">
                  <c:v>879.632536041322</c:v>
                </c:pt>
                <c:pt idx="17">
                  <c:v>888.367113814638</c:v>
                </c:pt>
                <c:pt idx="18">
                  <c:v>897.480062286537</c:v>
                </c:pt>
                <c:pt idx="19">
                  <c:v>907.139556218512</c:v>
                </c:pt>
                <c:pt idx="20">
                  <c:v>917.513770372055</c:v>
                </c:pt>
              </c:numCache>
            </c:numRef>
          </c:xVal>
          <c:yVal>
            <c:numRef>
              <c:f>Datos_Curvas!$AL$5:$AL$25</c:f>
              <c:numCache>
                <c:formatCode>0.0</c:formatCode>
                <c:ptCount val="21"/>
                <c:pt idx="0">
                  <c:v>124.84</c:v>
                </c:pt>
                <c:pt idx="1">
                  <c:v>128.6045</c:v>
                </c:pt>
                <c:pt idx="2">
                  <c:v>132.369</c:v>
                </c:pt>
                <c:pt idx="3">
                  <c:v>136.1335</c:v>
                </c:pt>
                <c:pt idx="4">
                  <c:v>139.898</c:v>
                </c:pt>
                <c:pt idx="5">
                  <c:v>143.6625</c:v>
                </c:pt>
                <c:pt idx="6">
                  <c:v>147.427</c:v>
                </c:pt>
                <c:pt idx="7">
                  <c:v>151.1915</c:v>
                </c:pt>
                <c:pt idx="8">
                  <c:v>154.956</c:v>
                </c:pt>
                <c:pt idx="9">
                  <c:v>158.7205</c:v>
                </c:pt>
                <c:pt idx="10">
                  <c:v>162.485</c:v>
                </c:pt>
                <c:pt idx="11">
                  <c:v>166.2495</c:v>
                </c:pt>
                <c:pt idx="12">
                  <c:v>170.014</c:v>
                </c:pt>
                <c:pt idx="13">
                  <c:v>173.7785</c:v>
                </c:pt>
                <c:pt idx="14">
                  <c:v>177.543</c:v>
                </c:pt>
                <c:pt idx="15">
                  <c:v>181.3075</c:v>
                </c:pt>
                <c:pt idx="16">
                  <c:v>185.072</c:v>
                </c:pt>
                <c:pt idx="17">
                  <c:v>188.8365</c:v>
                </c:pt>
                <c:pt idx="18">
                  <c:v>192.601</c:v>
                </c:pt>
                <c:pt idx="19">
                  <c:v>196.3655</c:v>
                </c:pt>
                <c:pt idx="20">
                  <c:v>200.13</c:v>
                </c:pt>
              </c:numCache>
            </c:numRef>
          </c:yVal>
          <c:smooth val="1"/>
        </c:ser>
        <c:ser>
          <c:idx val="13"/>
          <c:order val="13"/>
          <c:tx>
            <c:strRef>
              <c:f>"η 78 %"</c:f>
              <c:strCache>
                <c:ptCount val="1"/>
                <c:pt idx="0">
                  <c:v>η 78 %</c:v>
                </c:pt>
              </c:strCache>
            </c:strRef>
          </c:tx>
          <c:spPr>
            <a:solidFill>
              <a:srgbClr val="a0522d"/>
            </a:solidFill>
            <a:ln w="12600">
              <a:solidFill>
                <a:srgbClr val="a0522d"/>
              </a:solidFill>
              <a:round/>
            </a:ln>
          </c:spPr>
          <c:marker>
            <c:symbol val="none"/>
          </c:marker>
          <c:dPt>
            <c:idx val="20"/>
            <c:marker>
              <c:symbol val="none"/>
            </c:marker>
          </c:dPt>
          <c:dLbls>
            <c:dLbl>
              <c:idx val="20"/>
              <c:spPr>
                <a:solidFill>
                  <a:srgbClr val="FFF8E7"/>
                </a:solidFill>
              </c:spPr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7f3f00"/>
                      </a:solidFill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Datos_Curvas!$AN$5:$AN$25</c:f>
              <c:numCache>
                <c:formatCode>0.0</c:formatCode>
                <c:ptCount val="21"/>
                <c:pt idx="0">
                  <c:v>708.470295061842</c:v>
                </c:pt>
                <c:pt idx="1">
                  <c:v>725.100284824486</c:v>
                </c:pt>
                <c:pt idx="2">
                  <c:v>741.138280257651</c:v>
                </c:pt>
                <c:pt idx="3">
                  <c:v>756.601780914088</c:v>
                </c:pt>
                <c:pt idx="4">
                  <c:v>771.50828634655</c:v>
                </c:pt>
                <c:pt idx="5">
                  <c:v>785.875296107787</c:v>
                </c:pt>
                <c:pt idx="6">
                  <c:v>799.720309750552</c:v>
                </c:pt>
                <c:pt idx="7">
                  <c:v>813.060826827598</c:v>
                </c:pt>
                <c:pt idx="8">
                  <c:v>825.914346891676</c:v>
                </c:pt>
                <c:pt idx="9">
                  <c:v>838.298369495537</c:v>
                </c:pt>
                <c:pt idx="10">
                  <c:v>850.230394191934</c:v>
                </c:pt>
                <c:pt idx="11">
                  <c:v>861.727920533619</c:v>
                </c:pt>
                <c:pt idx="12">
                  <c:v>872.808448073344</c:v>
                </c:pt>
                <c:pt idx="13">
                  <c:v>883.489476363861</c:v>
                </c:pt>
                <c:pt idx="14">
                  <c:v>893.78850495792</c:v>
                </c:pt>
                <c:pt idx="15">
                  <c:v>903.723033408275</c:v>
                </c:pt>
                <c:pt idx="16">
                  <c:v>913.310561267678</c:v>
                </c:pt>
                <c:pt idx="17">
                  <c:v>922.56858808888</c:v>
                </c:pt>
                <c:pt idx="18">
                  <c:v>931.514613424634</c:v>
                </c:pt>
                <c:pt idx="19">
                  <c:v>940.16613682769</c:v>
                </c:pt>
                <c:pt idx="20">
                  <c:v>948.540657850801</c:v>
                </c:pt>
              </c:numCache>
            </c:numRef>
          </c:xVal>
          <c:yVal>
            <c:numRef>
              <c:f>Datos_Curvas!$AO$5:$AO$25</c:f>
              <c:numCache>
                <c:formatCode>0.0</c:formatCode>
                <c:ptCount val="21"/>
                <c:pt idx="0">
                  <c:v>116.12</c:v>
                </c:pt>
                <c:pt idx="1">
                  <c:v>119.9495</c:v>
                </c:pt>
                <c:pt idx="2">
                  <c:v>123.779</c:v>
                </c:pt>
                <c:pt idx="3">
                  <c:v>127.6085</c:v>
                </c:pt>
                <c:pt idx="4">
                  <c:v>131.438</c:v>
                </c:pt>
                <c:pt idx="5">
                  <c:v>135.2675</c:v>
                </c:pt>
                <c:pt idx="6">
                  <c:v>139.097</c:v>
                </c:pt>
                <c:pt idx="7">
                  <c:v>142.9265</c:v>
                </c:pt>
                <c:pt idx="8">
                  <c:v>146.756</c:v>
                </c:pt>
                <c:pt idx="9">
                  <c:v>150.5855</c:v>
                </c:pt>
                <c:pt idx="10">
                  <c:v>154.415</c:v>
                </c:pt>
                <c:pt idx="11">
                  <c:v>158.2445</c:v>
                </c:pt>
                <c:pt idx="12">
                  <c:v>162.074</c:v>
                </c:pt>
                <c:pt idx="13">
                  <c:v>165.9035</c:v>
                </c:pt>
                <c:pt idx="14">
                  <c:v>169.733</c:v>
                </c:pt>
                <c:pt idx="15">
                  <c:v>173.5625</c:v>
                </c:pt>
                <c:pt idx="16">
                  <c:v>177.392</c:v>
                </c:pt>
                <c:pt idx="17">
                  <c:v>181.2215</c:v>
                </c:pt>
                <c:pt idx="18">
                  <c:v>185.051</c:v>
                </c:pt>
                <c:pt idx="19">
                  <c:v>188.8805</c:v>
                </c:pt>
                <c:pt idx="20">
                  <c:v>192.71</c:v>
                </c:pt>
              </c:numCache>
            </c:numRef>
          </c:yVal>
          <c:smooth val="1"/>
        </c:ser>
        <c:ser>
          <c:idx val="14"/>
          <c:order val="14"/>
          <c:tx>
            <c:strRef>
              <c:f>"η 75 %"</c:f>
              <c:strCache>
                <c:ptCount val="1"/>
                <c:pt idx="0">
                  <c:v>η 75 %</c:v>
                </c:pt>
              </c:strCache>
            </c:strRef>
          </c:tx>
          <c:spPr>
            <a:solidFill>
              <a:srgbClr val="a0522d"/>
            </a:solidFill>
            <a:ln w="12600">
              <a:solidFill>
                <a:srgbClr val="a0522d"/>
              </a:solidFill>
              <a:round/>
            </a:ln>
          </c:spPr>
          <c:marker>
            <c:symbol val="none"/>
          </c:marker>
          <c:dPt>
            <c:idx val="20"/>
            <c:marker>
              <c:symbol val="none"/>
            </c:marker>
          </c:dPt>
          <c:dLbls>
            <c:dLbl>
              <c:idx val="20"/>
              <c:spPr>
                <a:solidFill>
                  <a:srgbClr val="FFF8E7"/>
                </a:solidFill>
              </c:spPr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7f3f00"/>
                      </a:solidFill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Datos_Curvas!$AQ$5:$AQ$25</c:f>
              <c:numCache>
                <c:formatCode>0.0</c:formatCode>
                <c:ptCount val="21"/>
                <c:pt idx="0">
                  <c:v>749.704346636191</c:v>
                </c:pt>
                <c:pt idx="1">
                  <c:v>766.111810718428</c:v>
                </c:pt>
                <c:pt idx="2">
                  <c:v>782.082143434221</c:v>
                </c:pt>
                <c:pt idx="3">
                  <c:v>797.620291070898</c:v>
                </c:pt>
                <c:pt idx="4">
                  <c:v>812.731199915783</c:v>
                </c:pt>
                <c:pt idx="5">
                  <c:v>827.419816256201</c:v>
                </c:pt>
                <c:pt idx="6">
                  <c:v>841.691086379479</c:v>
                </c:pt>
                <c:pt idx="7">
                  <c:v>855.549956572942</c:v>
                </c:pt>
                <c:pt idx="8">
                  <c:v>869.001373123915</c:v>
                </c:pt>
                <c:pt idx="9">
                  <c:v>882.050282319725</c:v>
                </c:pt>
                <c:pt idx="10">
                  <c:v>894.701630447696</c:v>
                </c:pt>
                <c:pt idx="11">
                  <c:v>906.960363795154</c:v>
                </c:pt>
                <c:pt idx="12">
                  <c:v>918.831428649424</c:v>
                </c:pt>
                <c:pt idx="13">
                  <c:v>930.319771297833</c:v>
                </c:pt>
                <c:pt idx="14">
                  <c:v>941.430338027706</c:v>
                </c:pt>
                <c:pt idx="15">
                  <c:v>952.168075126368</c:v>
                </c:pt>
                <c:pt idx="16">
                  <c:v>962.537928881144</c:v>
                </c:pt>
                <c:pt idx="17">
                  <c:v>972.544845579361</c:v>
                </c:pt>
                <c:pt idx="18">
                  <c:v>982.193771508344</c:v>
                </c:pt>
                <c:pt idx="19">
                  <c:v>991.489652955418</c:v>
                </c:pt>
                <c:pt idx="20">
                  <c:v>1000.43743620791</c:v>
                </c:pt>
              </c:numCache>
            </c:numRef>
          </c:xVal>
          <c:yVal>
            <c:numRef>
              <c:f>Datos_Curvas!$AR$5:$AR$25</c:f>
              <c:numCache>
                <c:formatCode>0.0</c:formatCode>
                <c:ptCount val="21"/>
                <c:pt idx="0">
                  <c:v>108.5</c:v>
                </c:pt>
                <c:pt idx="1">
                  <c:v>112.0265</c:v>
                </c:pt>
                <c:pt idx="2">
                  <c:v>115.553</c:v>
                </c:pt>
                <c:pt idx="3">
                  <c:v>119.0795</c:v>
                </c:pt>
                <c:pt idx="4">
                  <c:v>122.606</c:v>
                </c:pt>
                <c:pt idx="5">
                  <c:v>126.1325</c:v>
                </c:pt>
                <c:pt idx="6">
                  <c:v>129.659</c:v>
                </c:pt>
                <c:pt idx="7">
                  <c:v>133.1855</c:v>
                </c:pt>
                <c:pt idx="8">
                  <c:v>136.712</c:v>
                </c:pt>
                <c:pt idx="9">
                  <c:v>140.2385</c:v>
                </c:pt>
                <c:pt idx="10">
                  <c:v>143.765</c:v>
                </c:pt>
                <c:pt idx="11">
                  <c:v>147.2915</c:v>
                </c:pt>
                <c:pt idx="12">
                  <c:v>150.818</c:v>
                </c:pt>
                <c:pt idx="13">
                  <c:v>154.3445</c:v>
                </c:pt>
                <c:pt idx="14">
                  <c:v>157.871</c:v>
                </c:pt>
                <c:pt idx="15">
                  <c:v>161.3975</c:v>
                </c:pt>
                <c:pt idx="16">
                  <c:v>164.924</c:v>
                </c:pt>
                <c:pt idx="17">
                  <c:v>168.4505</c:v>
                </c:pt>
                <c:pt idx="18">
                  <c:v>171.977</c:v>
                </c:pt>
                <c:pt idx="19">
                  <c:v>175.5035</c:v>
                </c:pt>
                <c:pt idx="20">
                  <c:v>179.03</c:v>
                </c:pt>
              </c:numCache>
            </c:numRef>
          </c:yVal>
          <c:smooth val="1"/>
        </c:ser>
        <c:ser>
          <c:idx val="15"/>
          <c:order val="15"/>
          <c:tx>
            <c:strRef>
              <c:f>"η 70 %"</c:f>
              <c:strCache>
                <c:ptCount val="1"/>
                <c:pt idx="0">
                  <c:v>η 70 %</c:v>
                </c:pt>
              </c:strCache>
            </c:strRef>
          </c:tx>
          <c:spPr>
            <a:solidFill>
              <a:srgbClr val="a0522d"/>
            </a:solidFill>
            <a:ln w="12600">
              <a:solidFill>
                <a:srgbClr val="a0522d"/>
              </a:solidFill>
              <a:round/>
            </a:ln>
          </c:spPr>
          <c:marker>
            <c:symbol val="none"/>
          </c:marker>
          <c:dPt>
            <c:idx val="20"/>
            <c:marker>
              <c:symbol val="none"/>
            </c:marker>
          </c:dPt>
          <c:dLbls>
            <c:dLbl>
              <c:idx val="20"/>
              <c:spPr>
                <a:solidFill>
                  <a:srgbClr val="FFF8E7"/>
                </a:solidFill>
              </c:spPr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7f3f00"/>
                      </a:solidFill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Datos_Curvas!$AT$5:$AT$25</c:f>
              <c:numCache>
                <c:formatCode>0.0</c:formatCode>
                <c:ptCount val="21"/>
                <c:pt idx="0">
                  <c:v>792.809298285712</c:v>
                </c:pt>
                <c:pt idx="1">
                  <c:v>810.325391907118</c:v>
                </c:pt>
                <c:pt idx="2">
                  <c:v>827.09666746859</c:v>
                </c:pt>
                <c:pt idx="3">
                  <c:v>843.177273583354</c:v>
                </c:pt>
                <c:pt idx="4">
                  <c:v>858.621358864639</c:v>
                </c:pt>
                <c:pt idx="5">
                  <c:v>873.483071925672</c:v>
                </c:pt>
                <c:pt idx="6">
                  <c:v>887.816561379684</c:v>
                </c:pt>
                <c:pt idx="7">
                  <c:v>901.6759758399</c:v>
                </c:pt>
                <c:pt idx="8">
                  <c:v>915.11546391955</c:v>
                </c:pt>
                <c:pt idx="9">
                  <c:v>928.189174231862</c:v>
                </c:pt>
                <c:pt idx="10">
                  <c:v>940.951255390064</c:v>
                </c:pt>
                <c:pt idx="11">
                  <c:v>953.455856007384</c:v>
                </c:pt>
                <c:pt idx="12">
                  <c:v>965.75712469705</c:v>
                </c:pt>
                <c:pt idx="13">
                  <c:v>977.909210072291</c:v>
                </c:pt>
                <c:pt idx="14">
                  <c:v>989.966260746334</c:v>
                </c:pt>
                <c:pt idx="15">
                  <c:v>1001.98242533241</c:v>
                </c:pt>
                <c:pt idx="16">
                  <c:v>1014.01185244374</c:v>
                </c:pt>
                <c:pt idx="17">
                  <c:v>1026.10869069356</c:v>
                </c:pt>
                <c:pt idx="18">
                  <c:v>1038.32708869509</c:v>
                </c:pt>
                <c:pt idx="19">
                  <c:v>1050.72119506157</c:v>
                </c:pt>
                <c:pt idx="20">
                  <c:v>1063.34515840622</c:v>
                </c:pt>
              </c:numCache>
            </c:numRef>
          </c:xVal>
          <c:yVal>
            <c:numRef>
              <c:f>Datos_Curvas!$AU$5:$AU$25</c:f>
              <c:numCache>
                <c:formatCode>0.0</c:formatCode>
                <c:ptCount val="21"/>
                <c:pt idx="0">
                  <c:v>99.52</c:v>
                </c:pt>
                <c:pt idx="1">
                  <c:v>102.5515</c:v>
                </c:pt>
                <c:pt idx="2">
                  <c:v>105.583</c:v>
                </c:pt>
                <c:pt idx="3">
                  <c:v>108.6145</c:v>
                </c:pt>
                <c:pt idx="4">
                  <c:v>111.646</c:v>
                </c:pt>
                <c:pt idx="5">
                  <c:v>114.6775</c:v>
                </c:pt>
                <c:pt idx="6">
                  <c:v>117.709</c:v>
                </c:pt>
                <c:pt idx="7">
                  <c:v>120.7405</c:v>
                </c:pt>
                <c:pt idx="8">
                  <c:v>123.772</c:v>
                </c:pt>
                <c:pt idx="9">
                  <c:v>126.8035</c:v>
                </c:pt>
                <c:pt idx="10">
                  <c:v>129.835</c:v>
                </c:pt>
                <c:pt idx="11">
                  <c:v>132.8665</c:v>
                </c:pt>
                <c:pt idx="12">
                  <c:v>135.898</c:v>
                </c:pt>
                <c:pt idx="13">
                  <c:v>138.9295</c:v>
                </c:pt>
                <c:pt idx="14">
                  <c:v>141.961</c:v>
                </c:pt>
                <c:pt idx="15">
                  <c:v>144.9925</c:v>
                </c:pt>
                <c:pt idx="16">
                  <c:v>148.024</c:v>
                </c:pt>
                <c:pt idx="17">
                  <c:v>151.0555</c:v>
                </c:pt>
                <c:pt idx="18">
                  <c:v>154.087</c:v>
                </c:pt>
                <c:pt idx="19">
                  <c:v>157.1185</c:v>
                </c:pt>
                <c:pt idx="20">
                  <c:v>160.15</c:v>
                </c:pt>
              </c:numCache>
            </c:numRef>
          </c:yVal>
          <c:smooth val="1"/>
        </c:ser>
        <c:ser>
          <c:idx val="16"/>
          <c:order val="16"/>
          <c:tx>
            <c:strRef>
              <c:f>"η 65 %"</c:f>
              <c:strCache>
                <c:ptCount val="1"/>
                <c:pt idx="0">
                  <c:v>η 65 %</c:v>
                </c:pt>
              </c:strCache>
            </c:strRef>
          </c:tx>
          <c:spPr>
            <a:solidFill>
              <a:srgbClr val="a0522d"/>
            </a:solidFill>
            <a:ln w="12600">
              <a:solidFill>
                <a:srgbClr val="a0522d"/>
              </a:solidFill>
              <a:round/>
            </a:ln>
          </c:spPr>
          <c:marker>
            <c:symbol val="none"/>
          </c:marker>
          <c:dPt>
            <c:idx val="20"/>
            <c:marker>
              <c:symbol val="none"/>
            </c:marker>
          </c:dPt>
          <c:dLbls>
            <c:dLbl>
              <c:idx val="20"/>
              <c:spPr>
                <a:solidFill>
                  <a:srgbClr val="FFF8E7"/>
                </a:solidFill>
              </c:spPr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7f3f00"/>
                      </a:solidFill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Datos_Curvas!$AW$5:$AW$25</c:f>
              <c:numCache>
                <c:formatCode>0.0</c:formatCode>
                <c:ptCount val="21"/>
                <c:pt idx="0">
                  <c:v>850.647663002195</c:v>
                </c:pt>
                <c:pt idx="1">
                  <c:v>863.303295203128</c:v>
                </c:pt>
                <c:pt idx="2">
                  <c:v>876.05895651232</c:v>
                </c:pt>
                <c:pt idx="3">
                  <c:v>888.898252012826</c:v>
                </c:pt>
                <c:pt idx="4">
                  <c:v>901.804786787702</c:v>
                </c:pt>
                <c:pt idx="5">
                  <c:v>914.762165920002</c:v>
                </c:pt>
                <c:pt idx="6">
                  <c:v>927.753994492783</c:v>
                </c:pt>
                <c:pt idx="7">
                  <c:v>940.763877589098</c:v>
                </c:pt>
                <c:pt idx="8">
                  <c:v>953.775420292004</c:v>
                </c:pt>
                <c:pt idx="9">
                  <c:v>966.772227684554</c:v>
                </c:pt>
                <c:pt idx="10">
                  <c:v>979.737904849806</c:v>
                </c:pt>
                <c:pt idx="11">
                  <c:v>992.656056870813</c:v>
                </c:pt>
                <c:pt idx="12">
                  <c:v>1005.51028883063</c:v>
                </c:pt>
                <c:pt idx="13">
                  <c:v>1018.28420581232</c:v>
                </c:pt>
                <c:pt idx="14">
                  <c:v>1030.96141289892</c:v>
                </c:pt>
                <c:pt idx="15">
                  <c:v>1043.5255151735</c:v>
                </c:pt>
                <c:pt idx="16">
                  <c:v>1055.96011771912</c:v>
                </c:pt>
                <c:pt idx="17">
                  <c:v>1068.24882561882</c:v>
                </c:pt>
                <c:pt idx="18">
                  <c:v>1080.37524395566</c:v>
                </c:pt>
                <c:pt idx="19">
                  <c:v>1092.3229778127</c:v>
                </c:pt>
                <c:pt idx="20">
                  <c:v>1104.07563227299</c:v>
                </c:pt>
              </c:numCache>
            </c:numRef>
          </c:xVal>
          <c:yVal>
            <c:numRef>
              <c:f>Datos_Curvas!$AX$5:$AX$25</c:f>
              <c:numCache>
                <c:formatCode>0.0</c:formatCode>
                <c:ptCount val="21"/>
                <c:pt idx="0">
                  <c:v>85.79</c:v>
                </c:pt>
                <c:pt idx="1">
                  <c:v>88.826</c:v>
                </c:pt>
                <c:pt idx="2">
                  <c:v>91.862</c:v>
                </c:pt>
                <c:pt idx="3">
                  <c:v>94.898</c:v>
                </c:pt>
                <c:pt idx="4">
                  <c:v>97.934</c:v>
                </c:pt>
                <c:pt idx="5">
                  <c:v>100.97</c:v>
                </c:pt>
                <c:pt idx="6">
                  <c:v>104.006</c:v>
                </c:pt>
                <c:pt idx="7">
                  <c:v>107.042</c:v>
                </c:pt>
                <c:pt idx="8">
                  <c:v>110.078</c:v>
                </c:pt>
                <c:pt idx="9">
                  <c:v>113.114</c:v>
                </c:pt>
                <c:pt idx="10">
                  <c:v>116.15</c:v>
                </c:pt>
                <c:pt idx="11">
                  <c:v>119.186</c:v>
                </c:pt>
                <c:pt idx="12">
                  <c:v>122.222</c:v>
                </c:pt>
                <c:pt idx="13">
                  <c:v>125.258</c:v>
                </c:pt>
                <c:pt idx="14">
                  <c:v>128.294</c:v>
                </c:pt>
                <c:pt idx="15">
                  <c:v>131.33</c:v>
                </c:pt>
                <c:pt idx="16">
                  <c:v>134.366</c:v>
                </c:pt>
                <c:pt idx="17">
                  <c:v>137.402</c:v>
                </c:pt>
                <c:pt idx="18">
                  <c:v>140.438</c:v>
                </c:pt>
                <c:pt idx="19">
                  <c:v>143.474</c:v>
                </c:pt>
                <c:pt idx="20">
                  <c:v>146.51</c:v>
                </c:pt>
              </c:numCache>
            </c:numRef>
          </c:yVal>
          <c:smooth val="1"/>
        </c:ser>
        <c:ser>
          <c:idx val="17"/>
          <c:order val="17"/>
          <c:tx>
            <c:strRef>
              <c:f>"Línea H BEP Ø635 (η 81 %)"</c:f>
              <c:strCache>
                <c:ptCount val="1"/>
                <c:pt idx="0">
                  <c:v>Línea H BEP Ø635 (η 81 %)</c:v>
                </c:pt>
              </c:strCache>
            </c:strRef>
          </c:tx>
          <c:spPr>
            <a:solidFill>
              <a:srgbClr val="ff0000"/>
            </a:solidFill>
            <a:ln w="19080">
              <a:solidFill>
                <a:srgbClr val="ff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Datos_Curvas!$AZ$5:$AZ$6</c:f>
              <c:numCache>
                <c:formatCode>General</c:formatCode>
                <c:ptCount val="2"/>
                <c:pt idx="0">
                  <c:v>0</c:v>
                </c:pt>
                <c:pt idx="1">
                  <c:v>820</c:v>
                </c:pt>
              </c:numCache>
            </c:numRef>
          </c:xVal>
          <c:yVal>
            <c:numRef>
              <c:f>Datos_Curvas!$BA$5:$BA$6</c:f>
              <c:numCache>
                <c:formatCode>General</c:formatCode>
                <c:ptCount val="2"/>
                <c:pt idx="0">
                  <c:v>220</c:v>
                </c:pt>
                <c:pt idx="1">
                  <c:v>220</c:v>
                </c:pt>
              </c:numCache>
            </c:numRef>
          </c:yVal>
          <c:smooth val="1"/>
        </c:ser>
        <c:ser>
          <c:idx val="18"/>
          <c:order val="18"/>
          <c:tx>
            <c:strRef>
              <c:f>"Línea V BEP Ø635 (η 81 %)"</c:f>
              <c:strCache>
                <c:ptCount val="1"/>
                <c:pt idx="0">
                  <c:v>Línea V BEP Ø635 (η 81 %)</c:v>
                </c:pt>
              </c:strCache>
            </c:strRef>
          </c:tx>
          <c:spPr>
            <a:solidFill>
              <a:srgbClr val="ff0000"/>
            </a:solidFill>
            <a:ln w="19080">
              <a:solidFill>
                <a:srgbClr val="ff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Datos_Curvas!$AZ$6:$AZ$7</c:f>
              <c:numCache>
                <c:formatCode>General</c:formatCode>
                <c:ptCount val="2"/>
                <c:pt idx="0">
                  <c:v>820</c:v>
                </c:pt>
                <c:pt idx="1">
                  <c:v>820</c:v>
                </c:pt>
              </c:numCache>
            </c:numRef>
          </c:xVal>
          <c:yVal>
            <c:numRef>
              <c:f>Datos_Curvas!$BA$6:$BA$7</c:f>
              <c:numCache>
                <c:formatCode>General</c:formatCode>
                <c:ptCount val="2"/>
                <c:pt idx="0">
                  <c:v>220</c:v>
                </c:pt>
                <c:pt idx="1">
                  <c:v>0</c:v>
                </c:pt>
              </c:numCache>
            </c:numRef>
          </c:yVal>
          <c:smooth val="1"/>
        </c:ser>
        <c:ser>
          <c:idx val="19"/>
          <c:order val="19"/>
          <c:tx>
            <c:strRef>
              <c:f>Datos_Curvas!$AZ$8</c:f>
              <c:strCache>
                <c:ptCount val="1"/>
                <c:pt idx="0">
                  <c:v>BEP Ø635 (η 81 %) (820 ; 220)</c:v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11"/>
            <c:spPr>
              <a:solidFill>
                <a:srgbClr val="ff0000"/>
              </a:solidFill>
            </c:spPr>
          </c:marker>
          <c:dPt>
            <c:idx val="0"/>
            <c:marker>
              <c:symbol val="circle"/>
              <c:size val="11"/>
              <c:spPr>
                <a:solidFill>
                  <a:srgbClr val="ff0000"/>
                </a:solidFill>
              </c:spPr>
            </c:marker>
          </c:dPt>
          <c:dLbls>
            <c:dLbl>
              <c:idx val="0"/>
              <c:spPr>
                <a:solidFill>
                  <a:srgbClr val="FF0000"/>
                </a:solidFill>
              </c:spPr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dLblPos val="l"/>
              <c:showLegendKey val="0"/>
              <c:showVal val="0"/>
              <c:showCatName val="0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Datos_Curvas!$AZ$6</c:f>
              <c:numCache>
                <c:formatCode>General</c:formatCode>
                <c:ptCount val="1"/>
                <c:pt idx="0">
                  <c:v>820</c:v>
                </c:pt>
              </c:numCache>
            </c:numRef>
          </c:xVal>
          <c:yVal>
            <c:numRef>
              <c:f>Datos_Curvas!$BA$6</c:f>
              <c:numCache>
                <c:formatCode>General</c:formatCode>
                <c:ptCount val="1"/>
                <c:pt idx="0">
                  <c:v>220</c:v>
                </c:pt>
              </c:numCache>
            </c:numRef>
          </c:yVal>
          <c:smooth val="1"/>
        </c:ser>
        <c:ser>
          <c:idx val="20"/>
          <c:order val="20"/>
          <c:tx>
            <c:strRef>
              <c:f>"Línea H Bomba 3"</c:f>
              <c:strCache>
                <c:ptCount val="1"/>
                <c:pt idx="0">
                  <c:v>Línea H Bomba 3</c:v>
                </c:pt>
              </c:strCache>
            </c:strRef>
          </c:tx>
          <c:spPr>
            <a:solidFill>
              <a:srgbClr val="1f3a93"/>
            </a:solidFill>
            <a:ln w="19080">
              <a:solidFill>
                <a:srgbClr val="1f3a93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Datos_Curvas!$BC$5:$BC$6</c:f>
              <c:numCache>
                <c:formatCode>General</c:formatCode>
                <c:ptCount val="2"/>
                <c:pt idx="0">
                  <c:v>0</c:v>
                </c:pt>
                <c:pt idx="1">
                  <c:v>1040</c:v>
                </c:pt>
              </c:numCache>
            </c:numRef>
          </c:xVal>
          <c:yVal>
            <c:numRef>
              <c:f>Datos_Curvas!$BD$5:$BD$6</c:f>
              <c:numCache>
                <c:formatCode>General</c:formatCode>
                <c:ptCount val="2"/>
                <c:pt idx="0">
                  <c:v>203</c:v>
                </c:pt>
                <c:pt idx="1">
                  <c:v>203</c:v>
                </c:pt>
              </c:numCache>
            </c:numRef>
          </c:yVal>
          <c:smooth val="1"/>
        </c:ser>
        <c:ser>
          <c:idx val="21"/>
          <c:order val="21"/>
          <c:tx>
            <c:strRef>
              <c:f>"Línea V Bomba 3"</c:f>
              <c:strCache>
                <c:ptCount val="1"/>
                <c:pt idx="0">
                  <c:v>Línea V Bomba 3</c:v>
                </c:pt>
              </c:strCache>
            </c:strRef>
          </c:tx>
          <c:spPr>
            <a:solidFill>
              <a:srgbClr val="1f3a93"/>
            </a:solidFill>
            <a:ln w="19080">
              <a:solidFill>
                <a:srgbClr val="1f3a93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Datos_Curvas!$BC$6:$BC$7</c:f>
              <c:numCache>
                <c:formatCode>General</c:formatCode>
                <c:ptCount val="2"/>
                <c:pt idx="0">
                  <c:v>1040</c:v>
                </c:pt>
                <c:pt idx="1">
                  <c:v>1040</c:v>
                </c:pt>
              </c:numCache>
            </c:numRef>
          </c:xVal>
          <c:yVal>
            <c:numRef>
              <c:f>Datos_Curvas!$BD$6:$BD$7</c:f>
              <c:numCache>
                <c:formatCode>General</c:formatCode>
                <c:ptCount val="2"/>
                <c:pt idx="0">
                  <c:v>203</c:v>
                </c:pt>
                <c:pt idx="1">
                  <c:v>0</c:v>
                </c:pt>
              </c:numCache>
            </c:numRef>
          </c:yVal>
          <c:smooth val="1"/>
        </c:ser>
        <c:ser>
          <c:idx val="22"/>
          <c:order val="22"/>
          <c:tx>
            <c:strRef>
              <c:f>Datos_Curvas!$BC$8</c:f>
              <c:strCache>
                <c:ptCount val="1"/>
                <c:pt idx="0">
                  <c:v>Bomba 3 (1040 ; 203)</c:v>
                </c:pt>
              </c:strCache>
            </c:strRef>
          </c:tx>
          <c:spPr>
            <a:solidFill>
              <a:srgbClr val="1f3a93"/>
            </a:solidFill>
            <a:ln w="28440">
              <a:noFill/>
            </a:ln>
          </c:spPr>
          <c:marker>
            <c:symbol val="circle"/>
            <c:size val="11"/>
            <c:spPr>
              <a:solidFill>
                <a:srgbClr val="1f3a93"/>
              </a:solidFill>
            </c:spPr>
          </c:marker>
          <c:dPt>
            <c:idx val="0"/>
            <c:marker>
              <c:symbol val="circle"/>
              <c:size val="11"/>
              <c:spPr>
                <a:solidFill>
                  <a:srgbClr val="1f3a93"/>
                </a:solidFill>
              </c:spPr>
            </c:marker>
          </c:dPt>
          <c:dLbls>
            <c:dLbl>
              <c:idx val="0"/>
              <c:spPr>
                <a:solidFill>
                  <a:srgbClr val="1F3A93"/>
                </a:solidFill>
              </c:spPr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Datos_Curvas!$BC$6</c:f>
              <c:numCache>
                <c:formatCode>General</c:formatCode>
                <c:ptCount val="1"/>
                <c:pt idx="0">
                  <c:v>1040</c:v>
                </c:pt>
              </c:numCache>
            </c:numRef>
          </c:xVal>
          <c:yVal>
            <c:numRef>
              <c:f>Datos_Curvas!$BD$6</c:f>
              <c:numCache>
                <c:formatCode>General</c:formatCode>
                <c:ptCount val="1"/>
                <c:pt idx="0">
                  <c:v>203</c:v>
                </c:pt>
              </c:numCache>
            </c:numRef>
          </c:yVal>
          <c:smooth val="1"/>
        </c:ser>
        <c:ser>
          <c:idx val="23"/>
          <c:order val="23"/>
          <c:tx>
            <c:strRef>
              <c:f>"Línea H Bomba 4"</c:f>
              <c:strCache>
                <c:ptCount val="1"/>
                <c:pt idx="0">
                  <c:v>Línea H Bomba 4</c:v>
                </c:pt>
              </c:strCache>
            </c:strRef>
          </c:tx>
          <c:spPr>
            <a:solidFill>
              <a:srgbClr val="29abe2"/>
            </a:solidFill>
            <a:ln w="19080">
              <a:solidFill>
                <a:srgbClr val="29abe2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Datos_Curvas!$BF$5:$BF$6</c:f>
              <c:numCache>
                <c:formatCode>General</c:formatCode>
                <c:ptCount val="2"/>
                <c:pt idx="0">
                  <c:v>0</c:v>
                </c:pt>
                <c:pt idx="1">
                  <c:v>970</c:v>
                </c:pt>
              </c:numCache>
            </c:numRef>
          </c:xVal>
          <c:yVal>
            <c:numRef>
              <c:f>Datos_Curvas!$BG$5:$BG$6</c:f>
              <c:numCache>
                <c:formatCode>General</c:formatCode>
                <c:ptCount val="2"/>
                <c:pt idx="0">
                  <c:v>225</c:v>
                </c:pt>
                <c:pt idx="1">
                  <c:v>225</c:v>
                </c:pt>
              </c:numCache>
            </c:numRef>
          </c:yVal>
          <c:smooth val="1"/>
        </c:ser>
        <c:ser>
          <c:idx val="24"/>
          <c:order val="24"/>
          <c:tx>
            <c:strRef>
              <c:f>"Línea V Bomba 4"</c:f>
              <c:strCache>
                <c:ptCount val="1"/>
                <c:pt idx="0">
                  <c:v>Línea V Bomba 4</c:v>
                </c:pt>
              </c:strCache>
            </c:strRef>
          </c:tx>
          <c:spPr>
            <a:solidFill>
              <a:srgbClr val="29abe2"/>
            </a:solidFill>
            <a:ln w="19080">
              <a:solidFill>
                <a:srgbClr val="29abe2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Datos_Curvas!$BF$6:$BF$7</c:f>
              <c:numCache>
                <c:formatCode>General</c:formatCode>
                <c:ptCount val="2"/>
                <c:pt idx="0">
                  <c:v>970</c:v>
                </c:pt>
                <c:pt idx="1">
                  <c:v>970</c:v>
                </c:pt>
              </c:numCache>
            </c:numRef>
          </c:xVal>
          <c:yVal>
            <c:numRef>
              <c:f>Datos_Curvas!$BG$6:$BG$7</c:f>
              <c:numCache>
                <c:formatCode>General</c:formatCode>
                <c:ptCount val="2"/>
                <c:pt idx="0">
                  <c:v>225</c:v>
                </c:pt>
                <c:pt idx="1">
                  <c:v>0</c:v>
                </c:pt>
              </c:numCache>
            </c:numRef>
          </c:yVal>
          <c:smooth val="1"/>
        </c:ser>
        <c:ser>
          <c:idx val="25"/>
          <c:order val="25"/>
          <c:tx>
            <c:strRef>
              <c:f>Datos_Curvas!$BF$8</c:f>
              <c:strCache>
                <c:ptCount val="1"/>
                <c:pt idx="0">
                  <c:v>Bomba 4 (970 ; 225)</c:v>
                </c:pt>
              </c:strCache>
            </c:strRef>
          </c:tx>
          <c:spPr>
            <a:solidFill>
              <a:srgbClr val="29abe2"/>
            </a:solidFill>
            <a:ln w="28440">
              <a:noFill/>
            </a:ln>
          </c:spPr>
          <c:marker>
            <c:symbol val="circle"/>
            <c:size val="11"/>
            <c:spPr>
              <a:solidFill>
                <a:srgbClr val="29abe2"/>
              </a:solidFill>
            </c:spPr>
          </c:marker>
          <c:dPt>
            <c:idx val="0"/>
            <c:marker>
              <c:symbol val="circle"/>
              <c:size val="11"/>
              <c:spPr>
                <a:solidFill>
                  <a:srgbClr val="29abe2"/>
                </a:solidFill>
              </c:spPr>
            </c:marker>
          </c:dPt>
          <c:dLbls>
            <c:dLbl>
              <c:idx val="0"/>
              <c:spPr>
                <a:solidFill>
                  <a:srgbClr val="29ABE2"/>
                </a:solidFill>
              </c:spPr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Datos_Curvas!$BF$6</c:f>
              <c:numCache>
                <c:formatCode>General</c:formatCode>
                <c:ptCount val="1"/>
                <c:pt idx="0">
                  <c:v>970</c:v>
                </c:pt>
              </c:numCache>
            </c:numRef>
          </c:xVal>
          <c:yVal>
            <c:numRef>
              <c:f>Datos_Curvas!$BG$6</c:f>
              <c:numCache>
                <c:formatCode>General</c:formatCode>
                <c:ptCount val="1"/>
                <c:pt idx="0">
                  <c:v>225</c:v>
                </c:pt>
              </c:numCache>
            </c:numRef>
          </c:yVal>
          <c:smooth val="1"/>
        </c:ser>
        <c:ser>
          <c:idx val="26"/>
          <c:order val="26"/>
          <c:tx>
            <c:strRef>
              <c:f>Datos_Curvas!$CN$5</c:f>
              <c:strCache>
                <c:ptCount val="1"/>
                <c:pt idx="0">
                  <c:v>P1: Q=900 ; H=243.7</c:v>
                </c:pt>
              </c:strCache>
            </c:strRef>
          </c:tx>
          <c:spPr>
            <a:solidFill>
              <a:srgbClr val="4b0082"/>
            </a:solidFill>
            <a:ln w="28440">
              <a:noFill/>
            </a:ln>
          </c:spPr>
          <c:marker>
            <c:symbol val="diamond"/>
            <c:size val="11"/>
            <c:spPr>
              <a:solidFill>
                <a:srgbClr val="4b0082"/>
              </a:solidFill>
            </c:spPr>
          </c:marker>
          <c:dPt>
            <c:idx val="0"/>
            <c:marker>
              <c:symbol val="diamond"/>
              <c:size val="11"/>
              <c:spPr>
                <a:solidFill>
                  <a:srgbClr val="4b0082"/>
                </a:solidFill>
              </c:spPr>
            </c:marker>
          </c:dPt>
          <c:dLbls>
            <c:dLbl>
              <c:idx val="0"/>
              <c:spPr>
                <a:solidFill>
                  <a:srgbClr val="4B0082"/>
                </a:solidFill>
              </c:spPr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Datos_Curvas!$CL$5</c:f>
              <c:numCache>
                <c:formatCode>General</c:formatCode>
                <c:ptCount val="1"/>
                <c:pt idx="0">
                  <c:v>900</c:v>
                </c:pt>
              </c:numCache>
            </c:numRef>
          </c:xVal>
          <c:yVal>
            <c:numRef>
              <c:f>Datos_Curvas!$CM$5</c:f>
              <c:numCache>
                <c:formatCode>0.0</c:formatCode>
                <c:ptCount val="1"/>
                <c:pt idx="0">
                  <c:v>243.697415727525</c:v>
                </c:pt>
              </c:numCache>
            </c:numRef>
          </c:yVal>
          <c:smooth val="1"/>
        </c:ser>
        <c:ser>
          <c:idx val="27"/>
          <c:order val="27"/>
          <c:tx>
            <c:strRef>
              <c:f>Datos_Curvas!$CN$6</c:f>
              <c:strCache>
                <c:ptCount val="1"/>
                <c:pt idx="0">
                  <c:v>P2: Q=1000 ; H=216.0</c:v>
                </c:pt>
              </c:strCache>
            </c:strRef>
          </c:tx>
          <c:spPr>
            <a:solidFill>
              <a:srgbClr val="7030a0"/>
            </a:solidFill>
            <a:ln w="28440">
              <a:noFill/>
            </a:ln>
          </c:spPr>
          <c:marker>
            <c:symbol val="diamond"/>
            <c:size val="11"/>
            <c:spPr>
              <a:solidFill>
                <a:srgbClr val="7030a0"/>
              </a:solidFill>
            </c:spPr>
          </c:marker>
          <c:dPt>
            <c:idx val="0"/>
            <c:marker>
              <c:symbol val="diamond"/>
              <c:size val="11"/>
              <c:spPr>
                <a:solidFill>
                  <a:srgbClr val="7030a0"/>
                </a:solidFill>
              </c:spPr>
            </c:marker>
          </c:dPt>
          <c:dLbls>
            <c:dLbl>
              <c:idx val="0"/>
              <c:spPr>
                <a:solidFill>
                  <a:srgbClr val="7030A0"/>
                </a:solidFill>
              </c:spPr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Datos_Curvas!$CL$6</c:f>
              <c:numCache>
                <c:formatCode>General</c:formatCode>
                <c:ptCount val="1"/>
                <c:pt idx="0">
                  <c:v>1000</c:v>
                </c:pt>
              </c:numCache>
            </c:numRef>
          </c:xVal>
          <c:yVal>
            <c:numRef>
              <c:f>Datos_Curvas!$CM$6</c:f>
              <c:numCache>
                <c:formatCode>0.0</c:formatCode>
                <c:ptCount val="1"/>
                <c:pt idx="0">
                  <c:v>215.993195939608</c:v>
                </c:pt>
              </c:numCache>
            </c:numRef>
          </c:yVal>
          <c:smooth val="1"/>
        </c:ser>
        <c:ser>
          <c:idx val="28"/>
          <c:order val="28"/>
          <c:tx>
            <c:strRef>
              <c:f>Datos_Curvas!$CN$7</c:f>
              <c:strCache>
                <c:ptCount val="1"/>
                <c:pt idx="0">
                  <c:v>P3: Q=1100 ; H=181.3</c:v>
                </c:pt>
              </c:strCache>
            </c:strRef>
          </c:tx>
          <c:spPr>
            <a:solidFill>
              <a:srgbClr val="b07cd8"/>
            </a:solidFill>
            <a:ln w="28440">
              <a:noFill/>
            </a:ln>
          </c:spPr>
          <c:marker>
            <c:symbol val="diamond"/>
            <c:size val="11"/>
            <c:spPr>
              <a:solidFill>
                <a:srgbClr val="b07cd8"/>
              </a:solidFill>
            </c:spPr>
          </c:marker>
          <c:dPt>
            <c:idx val="0"/>
            <c:marker>
              <c:symbol val="diamond"/>
              <c:size val="11"/>
              <c:spPr>
                <a:solidFill>
                  <a:srgbClr val="b07cd8"/>
                </a:solidFill>
              </c:spPr>
            </c:marker>
          </c:dPt>
          <c:dLbls>
            <c:dLbl>
              <c:idx val="0"/>
              <c:spPr>
                <a:solidFill>
                  <a:srgbClr val="B07CD8"/>
                </a:solidFill>
              </c:spPr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Datos_Curvas!$CL$7</c:f>
              <c:numCache>
                <c:formatCode>General</c:formatCode>
                <c:ptCount val="1"/>
                <c:pt idx="0">
                  <c:v>1100</c:v>
                </c:pt>
              </c:numCache>
            </c:numRef>
          </c:xVal>
          <c:yVal>
            <c:numRef>
              <c:f>Datos_Curvas!$CM$7</c:f>
              <c:numCache>
                <c:formatCode>0.0</c:formatCode>
                <c:ptCount val="1"/>
                <c:pt idx="0">
                  <c:v>181.288468838786</c:v>
                </c:pt>
              </c:numCache>
            </c:numRef>
          </c:yVal>
          <c:smooth val="1"/>
        </c:ser>
        <c:ser>
          <c:idx val="29"/>
          <c:order val="29"/>
          <c:tx>
            <c:strRef>
              <c:f>Datos_Curvas!$CQ$5</c:f>
              <c:strCache>
                <c:ptCount val="1"/>
                <c:pt idx="0">
                  <c:v>G1: Q=915 ; H=240.0</c:v>
                </c:pt>
              </c:strCache>
            </c:strRef>
          </c:tx>
          <c:spPr>
            <a:solidFill>
              <a:srgbClr val="006100"/>
            </a:solidFill>
            <a:ln w="28440">
              <a:noFill/>
            </a:ln>
          </c:spPr>
          <c:marker>
            <c:symbol val="triangle"/>
            <c:size val="11"/>
            <c:spPr>
              <a:solidFill>
                <a:srgbClr val="006100"/>
              </a:solidFill>
            </c:spPr>
          </c:marker>
          <c:dPt>
            <c:idx val="0"/>
            <c:marker>
              <c:symbol val="triangle"/>
              <c:size val="11"/>
              <c:spPr>
                <a:solidFill>
                  <a:srgbClr val="006100"/>
                </a:solidFill>
              </c:spPr>
            </c:marker>
          </c:dPt>
          <c:dLbls>
            <c:dLbl>
              <c:idx val="0"/>
              <c:spPr>
                <a:solidFill>
                  <a:srgbClr val="6100"/>
                </a:solidFill>
              </c:spPr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dLblPos val="l"/>
              <c:showLegendKey val="0"/>
              <c:showVal val="0"/>
              <c:showCatName val="0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Datos_Curvas!$CO$5</c:f>
              <c:numCache>
                <c:formatCode>0.0</c:formatCode>
                <c:ptCount val="1"/>
                <c:pt idx="0">
                  <c:v>914.818720644271</c:v>
                </c:pt>
              </c:numCache>
            </c:numRef>
          </c:xVal>
          <c:yVal>
            <c:numRef>
              <c:f>Datos_Curvas!$CP$5</c:f>
              <c:numCache>
                <c:formatCode>General</c:formatCode>
                <c:ptCount val="1"/>
                <c:pt idx="0">
                  <c:v>240</c:v>
                </c:pt>
              </c:numCache>
            </c:numRef>
          </c:yVal>
          <c:smooth val="1"/>
        </c:ser>
        <c:ser>
          <c:idx val="30"/>
          <c:order val="30"/>
          <c:tx>
            <c:strRef>
              <c:f>Datos_Curvas!$CQ$6</c:f>
              <c:strCache>
                <c:ptCount val="1"/>
                <c:pt idx="0">
                  <c:v>G2: Q=1003 ; H=215.0</c:v>
                </c:pt>
              </c:strCache>
            </c:strRef>
          </c:tx>
          <c:spPr>
            <a:solidFill>
              <a:srgbClr val="00b050"/>
            </a:solidFill>
            <a:ln w="28440">
              <a:noFill/>
            </a:ln>
          </c:spPr>
          <c:marker>
            <c:symbol val="triangle"/>
            <c:size val="11"/>
            <c:spPr>
              <a:solidFill>
                <a:srgbClr val="00b050"/>
              </a:solidFill>
            </c:spPr>
          </c:marker>
          <c:dPt>
            <c:idx val="0"/>
            <c:marker>
              <c:symbol val="triangle"/>
              <c:size val="11"/>
              <c:spPr>
                <a:solidFill>
                  <a:srgbClr val="00b050"/>
                </a:solidFill>
              </c:spPr>
            </c:marker>
          </c:dPt>
          <c:dLbls>
            <c:dLbl>
              <c:idx val="0"/>
              <c:spPr>
                <a:solidFill>
                  <a:srgbClr val="B050"/>
                </a:solidFill>
              </c:spPr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dLblPos val="l"/>
              <c:showLegendKey val="0"/>
              <c:showVal val="0"/>
              <c:showCatName val="0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Datos_Curvas!$CO$6</c:f>
              <c:numCache>
                <c:formatCode>0.0</c:formatCode>
                <c:ptCount val="1"/>
                <c:pt idx="0">
                  <c:v>1003.1862407558</c:v>
                </c:pt>
              </c:numCache>
            </c:numRef>
          </c:xVal>
          <c:yVal>
            <c:numRef>
              <c:f>Datos_Curvas!$CP$6</c:f>
              <c:numCache>
                <c:formatCode>General</c:formatCode>
                <c:ptCount val="1"/>
                <c:pt idx="0">
                  <c:v>215</c:v>
                </c:pt>
              </c:numCache>
            </c:numRef>
          </c:yVal>
          <c:smooth val="1"/>
        </c:ser>
        <c:ser>
          <c:idx val="31"/>
          <c:order val="31"/>
          <c:tx>
            <c:strRef>
              <c:f>Datos_Curvas!$CQ$7</c:f>
              <c:strCache>
                <c:ptCount val="1"/>
                <c:pt idx="0">
                  <c:v>G3: Q=1077 ; H=190.0</c:v>
                </c:pt>
              </c:strCache>
            </c:strRef>
          </c:tx>
          <c:spPr>
            <a:solidFill>
              <a:srgbClr val="7dce3e"/>
            </a:solidFill>
            <a:ln w="28440">
              <a:noFill/>
            </a:ln>
          </c:spPr>
          <c:marker>
            <c:symbol val="triangle"/>
            <c:size val="11"/>
            <c:spPr>
              <a:solidFill>
                <a:srgbClr val="7dce3e"/>
              </a:solidFill>
            </c:spPr>
          </c:marker>
          <c:dPt>
            <c:idx val="0"/>
            <c:marker>
              <c:symbol val="triangle"/>
              <c:size val="11"/>
              <c:spPr>
                <a:solidFill>
                  <a:srgbClr val="7dce3e"/>
                </a:solidFill>
              </c:spPr>
            </c:marker>
          </c:dPt>
          <c:dLbls>
            <c:dLbl>
              <c:idx val="0"/>
              <c:spPr>
                <a:solidFill>
                  <a:srgbClr val="7DCE3E"/>
                </a:solidFill>
              </c:spPr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dLblPos val="l"/>
              <c:showLegendKey val="0"/>
              <c:showVal val="0"/>
              <c:showCatName val="0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Datos_Curvas!$CO$7</c:f>
              <c:numCache>
                <c:formatCode>0.0</c:formatCode>
                <c:ptCount val="1"/>
                <c:pt idx="0">
                  <c:v>1076.82513630061</c:v>
                </c:pt>
              </c:numCache>
            </c:numRef>
          </c:xVal>
          <c:yVal>
            <c:numRef>
              <c:f>Datos_Curvas!$CP$7</c:f>
              <c:numCache>
                <c:formatCode>General</c:formatCode>
                <c:ptCount val="1"/>
                <c:pt idx="0">
                  <c:v>190</c:v>
                </c:pt>
              </c:numCache>
            </c:numRef>
          </c:yVal>
          <c:smooth val="1"/>
        </c:ser>
        <c:axId val="60147086"/>
        <c:axId val="48549707"/>
      </c:scatterChart>
      <c:valAx>
        <c:axId val="60147086"/>
        <c:scaling>
          <c:orientation val="minMax"/>
          <c:max val="1200"/>
          <c:min val="0"/>
        </c:scaling>
        <c:delete val="0"/>
        <c:axPos val="b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minorGridlines>
          <c:spPr>
            <a:ln w="3240">
              <a:solidFill>
                <a:srgbClr val="f2f2f2"/>
              </a:solidFill>
              <a:round/>
            </a:ln>
          </c:spPr>
        </c:min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Caudal Q (m³/h)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549707"/>
        <c:crosses val="autoZero"/>
        <c:crossBetween val="midCat"/>
        <c:majorUnit val="100"/>
      </c:valAx>
      <c:valAx>
        <c:axId val="48549707"/>
        <c:scaling>
          <c:orientation val="minMax"/>
          <c:max val="35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minorGridlines>
          <c:spPr>
            <a:ln w="3240">
              <a:solidFill>
                <a:srgbClr val="f2f2f2"/>
              </a:solidFill>
              <a:round/>
            </a:ln>
          </c:spPr>
        </c:min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HEAD manométrico H (m)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147086"/>
        <c:crosses val="autoZero"/>
        <c:crossBetween val="midCat"/>
        <c:majorUnit val="25"/>
      </c:valAx>
      <c:spPr>
        <a:noFill/>
        <a:ln w="0">
          <a:noFill/>
        </a:ln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egendEntry>
        <c:idx val="18"/>
        <c:delete val="1"/>
      </c:legendEntry>
      <c:legendEntry>
        <c:idx val="20"/>
        <c:delete val="1"/>
      </c:legendEntry>
      <c:legendEntry>
        <c:idx val="21"/>
        <c:delete val="1"/>
      </c:legendEntry>
      <c:legendEntry>
        <c:idx val="23"/>
        <c:delete val="1"/>
      </c:legendEntry>
      <c:legendEntry>
        <c:idx val="24"/>
        <c:delete val="1"/>
      </c:legendEntry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160560</xdr:rowOff>
    </xdr:from>
    <xdr:to>
      <xdr:col>26</xdr:col>
      <xdr:colOff>9720</xdr:colOff>
      <xdr:row>36</xdr:row>
      <xdr:rowOff>24120</xdr:rowOff>
    </xdr:to>
    <xdr:graphicFrame>
      <xdr:nvGraphicFramePr>
        <xdr:cNvPr id="0" name="Chart 1"/>
        <xdr:cNvGraphicFramePr/>
      </xdr:nvGraphicFramePr>
      <xdr:xfrm>
        <a:off x="5568480" y="380880"/>
        <a:ext cx="12239640" cy="75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9"/>
    <col collapsed="false" customWidth="true" hidden="false" outlineLevel="0" max="4" min="3" style="0" width="17"/>
    <col collapsed="false" customWidth="true" hidden="false" outlineLevel="0" max="5" min="5" style="0" width="22"/>
    <col collapsed="false" customWidth="true" hidden="false" outlineLevel="0" max="6" min="6" style="0" width="2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true" outlineLevel="0" collapsed="false">
      <c r="B4" s="3" t="s">
        <v>2</v>
      </c>
      <c r="C4" s="3"/>
      <c r="D4" s="3"/>
      <c r="E4" s="3"/>
    </row>
    <row r="5" customFormat="false" ht="42" hidden="false" customHeight="true" outlineLevel="0" collapsed="false">
      <c r="B5" s="4" t="s">
        <v>3</v>
      </c>
      <c r="C5" s="4" t="s">
        <v>4</v>
      </c>
      <c r="D5" s="4" t="s">
        <v>5</v>
      </c>
      <c r="E5" s="4" t="s">
        <v>6</v>
      </c>
    </row>
    <row r="6" customFormat="false" ht="15" hidden="false" customHeight="false" outlineLevel="0" collapsed="false">
      <c r="B6" s="5" t="s">
        <v>7</v>
      </c>
      <c r="C6" s="6" t="n">
        <v>900</v>
      </c>
      <c r="D6" s="7" t="n">
        <f aca="false">IF(ISNUMBER(C6),(a0_649+a1_649*C6+a2_649*C6^2+a3_649*C6^3),"")</f>
        <v>243.697415727525</v>
      </c>
      <c r="E6" s="5" t="str">
        <f aca="false">IF(ISNUMBER(C6),IF(OR(C6&lt;0,C6&gt;Qmax_649),"Fuera de rango (extrapolado)","OK"),"")</f>
        <v>OK</v>
      </c>
    </row>
    <row r="7" customFormat="false" ht="15" hidden="false" customHeight="false" outlineLevel="0" collapsed="false">
      <c r="B7" s="5" t="s">
        <v>8</v>
      </c>
      <c r="C7" s="6" t="n">
        <v>1000</v>
      </c>
      <c r="D7" s="7" t="n">
        <f aca="false">IF(ISNUMBER(C7),(a0_649+a1_649*C7+a2_649*C7^2+a3_649*C7^3),"")</f>
        <v>215.993195939608</v>
      </c>
      <c r="E7" s="5" t="str">
        <f aca="false">IF(ISNUMBER(C7),IF(OR(C7&lt;0,C7&gt;Qmax_649),"Fuera de rango (extrapolado)","OK"),"")</f>
        <v>OK</v>
      </c>
    </row>
    <row r="8" customFormat="false" ht="15" hidden="false" customHeight="false" outlineLevel="0" collapsed="false">
      <c r="B8" s="5" t="s">
        <v>9</v>
      </c>
      <c r="C8" s="6" t="n">
        <v>1100</v>
      </c>
      <c r="D8" s="7" t="n">
        <f aca="false">IF(ISNUMBER(C8),(a0_649+a1_649*C8+a2_649*C8^2+a3_649*C8^3),"")</f>
        <v>181.288468838786</v>
      </c>
      <c r="E8" s="5" t="str">
        <f aca="false">IF(ISNUMBER(C8),IF(OR(C8&lt;0,C8&gt;Qmax_649),"Fuera de rango (extrapolado)","OK"),"")</f>
        <v>OK</v>
      </c>
    </row>
    <row r="10" customFormat="false" ht="15" hidden="false" customHeight="true" outlineLevel="0" collapsed="false">
      <c r="B10" s="8" t="s">
        <v>10</v>
      </c>
      <c r="C10" s="8"/>
      <c r="D10" s="8"/>
      <c r="E10" s="8"/>
    </row>
    <row r="11" customFormat="false" ht="42" hidden="false" customHeight="true" outlineLevel="0" collapsed="false">
      <c r="B11" s="9" t="s">
        <v>3</v>
      </c>
      <c r="C11" s="9" t="s">
        <v>11</v>
      </c>
      <c r="D11" s="9" t="s">
        <v>12</v>
      </c>
      <c r="E11" s="9" t="s">
        <v>6</v>
      </c>
    </row>
    <row r="12" customFormat="false" ht="15" hidden="false" customHeight="false" outlineLevel="0" collapsed="false">
      <c r="B12" s="5" t="s">
        <v>13</v>
      </c>
      <c r="C12" s="6" t="n">
        <v>240</v>
      </c>
      <c r="D12" s="7" t="n">
        <f aca="false">IF(ISNUMBER(C12),IF(AND(C12&lt;=a0_649,C12&gt;=(a0_649+a1_649*Qmax_649+a2_649*Qmax_649^2+a3_649*Qmax_649^3)),Datos_Curvas!$CJ$5,"Fuera de rango"),"")</f>
        <v>914.818720644271</v>
      </c>
      <c r="E12" s="5" t="str">
        <f aca="false">IF(ISNUMBER(C12),IF(AND(C12&lt;=a0_649,C12&gt;=(a0_649+a1_649*Qmax_649+a2_649*Qmax_649^2+a3_649*Qmax_649^3)),"OK","H fuera de la curva Ø649"),"")</f>
        <v>OK</v>
      </c>
    </row>
    <row r="13" customFormat="false" ht="15" hidden="false" customHeight="false" outlineLevel="0" collapsed="false">
      <c r="B13" s="5" t="s">
        <v>14</v>
      </c>
      <c r="C13" s="6" t="n">
        <v>215</v>
      </c>
      <c r="D13" s="7" t="n">
        <f aca="false">IF(ISNUMBER(C13),IF(AND(C13&lt;=a0_649,C13&gt;=(a0_649+a1_649*Qmax_649+a2_649*Qmax_649^2+a3_649*Qmax_649^3)),Datos_Curvas!$CJ$6,"Fuera de rango"),"")</f>
        <v>1003.1862407558</v>
      </c>
      <c r="E13" s="5" t="str">
        <f aca="false">IF(ISNUMBER(C13),IF(AND(C13&lt;=a0_649,C13&gt;=(a0_649+a1_649*Qmax_649+a2_649*Qmax_649^2+a3_649*Qmax_649^3)),"OK","H fuera de la curva Ø649"),"")</f>
        <v>OK</v>
      </c>
    </row>
    <row r="14" customFormat="false" ht="15" hidden="false" customHeight="false" outlineLevel="0" collapsed="false">
      <c r="B14" s="5" t="s">
        <v>15</v>
      </c>
      <c r="C14" s="6" t="n">
        <v>190</v>
      </c>
      <c r="D14" s="7" t="n">
        <f aca="false">IF(ISNUMBER(C14),IF(AND(C14&lt;=a0_649,C14&gt;=(a0_649+a1_649*Qmax_649+a2_649*Qmax_649^2+a3_649*Qmax_649^3)),Datos_Curvas!$CJ$7,"Fuera de rango"),"")</f>
        <v>1076.82513630061</v>
      </c>
      <c r="E14" s="5" t="str">
        <f aca="false">IF(ISNUMBER(C14),IF(AND(C14&lt;=a0_649,C14&gt;=(a0_649+a1_649*Qmax_649+a2_649*Qmax_649^2+a3_649*Qmax_649^3)),"OK","H fuera de la curva Ø649"),"")</f>
        <v>OK</v>
      </c>
    </row>
    <row r="16" customFormat="false" ht="15" hidden="false" customHeight="true" outlineLevel="0" collapsed="false">
      <c r="B16" s="10" t="s">
        <v>16</v>
      </c>
      <c r="C16" s="10"/>
      <c r="D16" s="10"/>
      <c r="E16" s="10"/>
    </row>
    <row r="17" customFormat="false" ht="42" hidden="false" customHeight="true" outlineLevel="0" collapsed="false">
      <c r="B17" s="11" t="s">
        <v>3</v>
      </c>
      <c r="C17" s="11" t="s">
        <v>17</v>
      </c>
      <c r="D17" s="11" t="s">
        <v>18</v>
      </c>
      <c r="E17" s="11" t="s">
        <v>19</v>
      </c>
    </row>
    <row r="18" customFormat="false" ht="15" hidden="false" customHeight="false" outlineLevel="0" collapsed="false">
      <c r="B18" s="12" t="s">
        <v>20</v>
      </c>
      <c r="C18" s="13" t="n">
        <v>820</v>
      </c>
      <c r="D18" s="13" t="n">
        <v>220</v>
      </c>
      <c r="E18" s="7" t="n">
        <f aca="false">(Polinomios!$B$7+Polinomios!$C$7*C18+Polinomios!$D$7*C18^2+Polinomios!$E$7*C18^3)</f>
        <v>219.999832579858</v>
      </c>
    </row>
    <row r="19" customFormat="false" ht="15" hidden="false" customHeight="false" outlineLevel="0" collapsed="false">
      <c r="B19" s="14" t="s">
        <v>21</v>
      </c>
      <c r="C19" s="13" t="n">
        <v>1040</v>
      </c>
      <c r="D19" s="13" t="n">
        <v>203</v>
      </c>
      <c r="E19" s="7" t="n">
        <f aca="false">(a0_649+a1_649*C19+a2_649*C19^2+a3_649*C19^3)</f>
        <v>203.000000000006</v>
      </c>
    </row>
    <row r="20" customFormat="false" ht="15" hidden="false" customHeight="false" outlineLevel="0" collapsed="false">
      <c r="B20" s="15" t="s">
        <v>22</v>
      </c>
      <c r="C20" s="13" t="n">
        <v>970</v>
      </c>
      <c r="D20" s="13" t="n">
        <v>225</v>
      </c>
      <c r="E20" s="7" t="n">
        <f aca="false">(a0_649+a1_649*C20+a2_649*C20^2+a3_649*C20^3)</f>
        <v>225.000000000006</v>
      </c>
    </row>
    <row r="21" customFormat="false" ht="15" hidden="false" customHeight="false" outlineLevel="0" collapsed="false">
      <c r="B21" s="16" t="s">
        <v>23</v>
      </c>
    </row>
    <row r="23" customFormat="false" ht="15" hidden="false" customHeight="true" outlineLevel="0" collapsed="false">
      <c r="B23" s="10" t="s">
        <v>24</v>
      </c>
      <c r="C23" s="10"/>
      <c r="D23" s="10"/>
      <c r="E23" s="10"/>
    </row>
    <row r="24" customFormat="false" ht="15" hidden="false" customHeight="false" outlineLevel="0" collapsed="false">
      <c r="B24" s="17" t="str">
        <f aca="false">"H = "&amp;TEXT(a0_649,"0.000")&amp;" "&amp;TEXT(a1_649,"+0.000000;-0.000000")&amp;"·Q "&amp;TEXT(a2_649,"+0.000E+00;-0.000E+00")&amp;"·Q² "&amp;TEXT(a3_649,"+0.000E+00;-0.000E+00")&amp;"·Q³"</f>
        <v>H = 321.309 -0.044779·Q +8.421E-05·Q² -1.447E-07·Q³</v>
      </c>
      <c r="C24" s="17"/>
      <c r="D24" s="17"/>
      <c r="E24" s="17"/>
    </row>
    <row r="25" customFormat="false" ht="15" hidden="false" customHeight="true" outlineLevel="0" collapsed="false">
      <c r="B25" s="18" t="s">
        <v>25</v>
      </c>
      <c r="C25" s="18"/>
      <c r="D25" s="18"/>
      <c r="E25" s="18"/>
    </row>
    <row r="26" customFormat="false" ht="15" hidden="false" customHeight="false" outlineLevel="0" collapsed="false">
      <c r="B26" s="18"/>
      <c r="C26" s="18"/>
      <c r="D26" s="18"/>
      <c r="E26" s="18"/>
    </row>
    <row r="27" customFormat="false" ht="15" hidden="false" customHeight="false" outlineLevel="0" collapsed="false">
      <c r="B27" s="18"/>
      <c r="C27" s="18"/>
      <c r="D27" s="18"/>
      <c r="E27" s="18"/>
    </row>
    <row r="28" customFormat="false" ht="15" hidden="false" customHeight="false" outlineLevel="0" collapsed="false">
      <c r="B28" s="18"/>
      <c r="C28" s="18"/>
      <c r="D28" s="18"/>
      <c r="E28" s="18"/>
    </row>
  </sheetData>
  <mergeCells count="6">
    <mergeCell ref="B4:E4"/>
    <mergeCell ref="B10:E10"/>
    <mergeCell ref="B16:E16"/>
    <mergeCell ref="B23:E23"/>
    <mergeCell ref="B24:E24"/>
    <mergeCell ref="B25:E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5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70"/>
  </cols>
  <sheetData>
    <row r="1" customFormat="false" ht="15" hidden="false" customHeight="false" outlineLevel="0" collapsed="false">
      <c r="A1" s="19" t="s">
        <v>26</v>
      </c>
    </row>
    <row r="2" customFormat="false" ht="15" hidden="false" customHeight="false" outlineLevel="0" collapsed="false">
      <c r="A2" s="20" t="s">
        <v>27</v>
      </c>
    </row>
    <row r="4" customFormat="false" ht="23.85" hidden="false" customHeight="false" outlineLevel="0" collapsed="false">
      <c r="A4" s="21" t="s">
        <v>28</v>
      </c>
      <c r="B4" s="21" t="s">
        <v>29</v>
      </c>
      <c r="C4" s="21" t="s">
        <v>30</v>
      </c>
      <c r="D4" s="21" t="s">
        <v>31</v>
      </c>
      <c r="E4" s="21" t="s">
        <v>32</v>
      </c>
      <c r="F4" s="21" t="s">
        <v>33</v>
      </c>
      <c r="G4" s="21" t="s">
        <v>34</v>
      </c>
      <c r="H4" s="21" t="s">
        <v>35</v>
      </c>
    </row>
    <row r="5" customFormat="false" ht="15" hidden="false" customHeight="false" outlineLevel="0" collapsed="false">
      <c r="A5" s="22" t="n">
        <v>508</v>
      </c>
      <c r="B5" s="23" t="n">
        <v>159.547722468647</v>
      </c>
      <c r="C5" s="23" t="n">
        <v>-0.0177045711748838</v>
      </c>
      <c r="D5" s="23" t="n">
        <v>3.60864150370151E-005</v>
      </c>
      <c r="E5" s="23" t="n">
        <v>-1.37788689032261E-007</v>
      </c>
      <c r="F5" s="24" t="n">
        <v>0</v>
      </c>
      <c r="G5" s="24" t="n">
        <v>850</v>
      </c>
      <c r="H5" s="25" t="s">
        <v>36</v>
      </c>
    </row>
    <row r="6" customFormat="false" ht="15" hidden="false" customHeight="false" outlineLevel="0" collapsed="false">
      <c r="A6" s="22" t="n">
        <v>572</v>
      </c>
      <c r="B6" s="23" t="n">
        <v>219.974820221592</v>
      </c>
      <c r="C6" s="23" t="n">
        <v>-0.0269641689039294</v>
      </c>
      <c r="D6" s="23" t="n">
        <v>6.48042398034364E-005</v>
      </c>
      <c r="E6" s="23" t="n">
        <v>-1.44310771396412E-007</v>
      </c>
      <c r="F6" s="24" t="n">
        <v>0</v>
      </c>
      <c r="G6" s="24" t="n">
        <v>975</v>
      </c>
      <c r="H6" s="25" t="s">
        <v>36</v>
      </c>
    </row>
    <row r="7" customFormat="false" ht="15" hidden="false" customHeight="false" outlineLevel="0" collapsed="false">
      <c r="A7" s="22" t="n">
        <v>635</v>
      </c>
      <c r="B7" s="23" t="n">
        <v>273.414469856574</v>
      </c>
      <c r="C7" s="23" t="n">
        <v>-0.0387617226317104</v>
      </c>
      <c r="D7" s="23" t="n">
        <v>7.41496153237252E-005</v>
      </c>
      <c r="E7" s="23" t="n">
        <v>-1.296561027524E-007</v>
      </c>
      <c r="F7" s="24" t="n">
        <v>0</v>
      </c>
      <c r="G7" s="24" t="n">
        <v>1104</v>
      </c>
      <c r="H7" s="25" t="s">
        <v>37</v>
      </c>
    </row>
    <row r="8" customFormat="false" ht="15" hidden="false" customHeight="false" outlineLevel="0" collapsed="false">
      <c r="A8" s="22" t="n">
        <v>649</v>
      </c>
      <c r="B8" s="23" t="n">
        <v>321.309240174364</v>
      </c>
      <c r="C8" s="23" t="n">
        <v>-0.0447789117941254</v>
      </c>
      <c r="D8" s="23" t="n">
        <v>8.42069841616526E-005</v>
      </c>
      <c r="E8" s="23" t="n">
        <v>-1.44744116602284E-007</v>
      </c>
      <c r="F8" s="24" t="n">
        <v>0</v>
      </c>
      <c r="G8" s="24" t="n">
        <v>1130</v>
      </c>
      <c r="H8" s="25" t="s">
        <v>38</v>
      </c>
    </row>
    <row r="10" customFormat="false" ht="15" hidden="false" customHeight="false" outlineLevel="0" collapsed="false">
      <c r="A10" s="20" t="s">
        <v>39</v>
      </c>
    </row>
    <row r="11" customFormat="false" ht="15" hidden="false" customHeight="false" outlineLevel="0" collapsed="false">
      <c r="A11" s="26" t="s">
        <v>40</v>
      </c>
      <c r="B11" s="26" t="s">
        <v>41</v>
      </c>
      <c r="C11" s="26" t="s">
        <v>42</v>
      </c>
      <c r="D11" s="26" t="s">
        <v>43</v>
      </c>
      <c r="E11" s="26" t="s">
        <v>44</v>
      </c>
      <c r="F11" s="26" t="s">
        <v>45</v>
      </c>
      <c r="G11" s="26" t="s">
        <v>46</v>
      </c>
      <c r="H11" s="26" t="s">
        <v>47</v>
      </c>
      <c r="I11" s="26" t="s">
        <v>48</v>
      </c>
    </row>
    <row r="12" customFormat="false" ht="15" hidden="false" customHeight="false" outlineLevel="0" collapsed="false">
      <c r="A12" s="27" t="s">
        <v>49</v>
      </c>
      <c r="B12" s="27" t="n">
        <v>60</v>
      </c>
      <c r="C12" s="23" t="n">
        <v>304.035868454052</v>
      </c>
      <c r="D12" s="23" t="n">
        <v>-0.395389430058174</v>
      </c>
      <c r="E12" s="23" t="n">
        <v>0.00231349040248594</v>
      </c>
      <c r="F12" s="23" t="n">
        <v>0</v>
      </c>
      <c r="G12" s="24" t="n">
        <v>153.83</v>
      </c>
      <c r="H12" s="24" t="n">
        <v>263.02</v>
      </c>
      <c r="I12" s="25" t="s">
        <v>50</v>
      </c>
    </row>
    <row r="13" customFormat="false" ht="15" hidden="false" customHeight="false" outlineLevel="0" collapsed="false">
      <c r="A13" s="27" t="s">
        <v>51</v>
      </c>
      <c r="B13" s="27" t="n">
        <v>65</v>
      </c>
      <c r="C13" s="23" t="n">
        <v>416.790190923446</v>
      </c>
      <c r="D13" s="23" t="n">
        <v>-0.78301506361222</v>
      </c>
      <c r="E13" s="23" t="n">
        <v>0.00312541150867823</v>
      </c>
      <c r="F13" s="23" t="n">
        <v>0</v>
      </c>
      <c r="G13" s="24" t="n">
        <v>150.97</v>
      </c>
      <c r="H13" s="24" t="n">
        <v>260.39</v>
      </c>
      <c r="I13" s="25" t="s">
        <v>50</v>
      </c>
    </row>
    <row r="14" customFormat="false" ht="15" hidden="false" customHeight="false" outlineLevel="0" collapsed="false">
      <c r="A14" s="27" t="s">
        <v>52</v>
      </c>
      <c r="B14" s="27" t="n">
        <v>70</v>
      </c>
      <c r="C14" s="23" t="n">
        <v>408.77087466853</v>
      </c>
      <c r="D14" s="23" t="n">
        <v>-0.147352905248097</v>
      </c>
      <c r="E14" s="23" t="n">
        <v>0.00196920964782289</v>
      </c>
      <c r="F14" s="23" t="n">
        <v>0</v>
      </c>
      <c r="G14" s="24" t="n">
        <v>147.66</v>
      </c>
      <c r="H14" s="24" t="n">
        <v>256.34</v>
      </c>
      <c r="I14" s="25" t="s">
        <v>50</v>
      </c>
    </row>
    <row r="15" customFormat="false" ht="15" hidden="false" customHeight="false" outlineLevel="0" collapsed="false">
      <c r="A15" s="27" t="s">
        <v>53</v>
      </c>
      <c r="B15" s="27" t="n">
        <v>75</v>
      </c>
      <c r="C15" s="23" t="n">
        <v>506.59465291493</v>
      </c>
      <c r="D15" s="23" t="n">
        <v>-0.577975276131964</v>
      </c>
      <c r="E15" s="23" t="n">
        <v>0.00359642064711191</v>
      </c>
      <c r="F15" s="23" t="n">
        <v>0</v>
      </c>
      <c r="G15" s="24" t="n">
        <v>142.72</v>
      </c>
      <c r="H15" s="24" t="n">
        <v>250</v>
      </c>
      <c r="I15" s="25" t="s">
        <v>50</v>
      </c>
    </row>
    <row r="16" customFormat="false" ht="15" hidden="false" customHeight="false" outlineLevel="0" collapsed="false">
      <c r="A16" s="27" t="s">
        <v>54</v>
      </c>
      <c r="B16" s="27" t="n">
        <v>78</v>
      </c>
      <c r="C16" s="23" t="n">
        <v>570.607881221303</v>
      </c>
      <c r="D16" s="23" t="n">
        <v>-0.670756845053609</v>
      </c>
      <c r="E16" s="23" t="n">
        <v>0.00417966770492042</v>
      </c>
      <c r="F16" s="23" t="n">
        <v>0</v>
      </c>
      <c r="G16" s="24" t="n">
        <v>137.05</v>
      </c>
      <c r="H16" s="24" t="n">
        <v>243.41</v>
      </c>
      <c r="I16" s="25" t="s">
        <v>50</v>
      </c>
    </row>
    <row r="17" customFormat="false" ht="15" hidden="false" customHeight="false" outlineLevel="0" collapsed="false">
      <c r="A17" s="27" t="s">
        <v>55</v>
      </c>
      <c r="B17" s="27" t="n">
        <v>79</v>
      </c>
      <c r="C17" s="23" t="n">
        <v>687.059508739088</v>
      </c>
      <c r="D17" s="23" t="n">
        <v>-1.27280411010191</v>
      </c>
      <c r="E17" s="23" t="n">
        <v>0.00556998434193858</v>
      </c>
      <c r="F17" s="23" t="n">
        <v>0</v>
      </c>
      <c r="G17" s="24" t="n">
        <v>130.16</v>
      </c>
      <c r="H17" s="24" t="n">
        <v>238.16</v>
      </c>
      <c r="I17" s="25" t="s">
        <v>50</v>
      </c>
    </row>
    <row r="18" customFormat="false" ht="15" hidden="false" customHeight="false" outlineLevel="0" collapsed="false">
      <c r="A18" s="27" t="s">
        <v>56</v>
      </c>
      <c r="B18" s="27" t="n">
        <v>80</v>
      </c>
      <c r="C18" s="23" t="n">
        <v>7219.6971611609</v>
      </c>
      <c r="D18" s="23" t="n">
        <v>-92.9009302825929</v>
      </c>
      <c r="E18" s="23" t="n">
        <v>0.438938673546252</v>
      </c>
      <c r="F18" s="23" t="n">
        <v>-0.000685729563597033</v>
      </c>
      <c r="G18" s="24" t="n">
        <v>172</v>
      </c>
      <c r="H18" s="24" t="n">
        <v>234.31</v>
      </c>
      <c r="I18" s="25" t="s">
        <v>57</v>
      </c>
    </row>
    <row r="19" customFormat="false" ht="15" hidden="false" customHeight="false" outlineLevel="0" collapsed="false">
      <c r="A19" s="27" t="s">
        <v>58</v>
      </c>
      <c r="B19" s="27" t="n">
        <v>80</v>
      </c>
      <c r="C19" s="23" t="n">
        <v>-2734.48605550721</v>
      </c>
      <c r="D19" s="23" t="n">
        <v>33.6869852916673</v>
      </c>
      <c r="E19" s="23" t="n">
        <v>-0.0785111932180804</v>
      </c>
      <c r="F19" s="23" t="n">
        <v>0</v>
      </c>
      <c r="G19" s="24" t="n">
        <v>172</v>
      </c>
      <c r="H19" s="24" t="n">
        <v>209.06</v>
      </c>
      <c r="I19" s="25" t="s">
        <v>57</v>
      </c>
    </row>
    <row r="20" customFormat="false" ht="15" hidden="false" customHeight="false" outlineLevel="0" collapsed="false">
      <c r="A20" s="27" t="s">
        <v>59</v>
      </c>
      <c r="B20" s="27" t="n">
        <v>79</v>
      </c>
      <c r="C20" s="23" t="n">
        <v>-2619.72263852367</v>
      </c>
      <c r="D20" s="23" t="n">
        <v>53.5269786387518</v>
      </c>
      <c r="E20" s="23" t="n">
        <v>-0.284292701732359</v>
      </c>
      <c r="F20" s="23" t="n">
        <v>0.000525397093115</v>
      </c>
      <c r="G20" s="24" t="n">
        <v>124.84</v>
      </c>
      <c r="H20" s="24" t="n">
        <v>200.13</v>
      </c>
      <c r="I20" s="25" t="s">
        <v>50</v>
      </c>
    </row>
    <row r="21" customFormat="false" ht="15" hidden="false" customHeight="false" outlineLevel="0" collapsed="false">
      <c r="A21" s="27" t="s">
        <v>60</v>
      </c>
      <c r="B21" s="27" t="n">
        <v>78</v>
      </c>
      <c r="C21" s="23" t="n">
        <v>-166.460468883866</v>
      </c>
      <c r="D21" s="23" t="n">
        <v>11.3482729350063</v>
      </c>
      <c r="E21" s="23" t="n">
        <v>-0.0388720949945357</v>
      </c>
      <c r="F21" s="23" t="n">
        <v>5.19337254030965E-005</v>
      </c>
      <c r="G21" s="24" t="n">
        <v>116.12</v>
      </c>
      <c r="H21" s="24" t="n">
        <v>192.71</v>
      </c>
      <c r="I21" s="25" t="s">
        <v>50</v>
      </c>
    </row>
    <row r="22" customFormat="false" ht="15" hidden="false" customHeight="false" outlineLevel="0" collapsed="false">
      <c r="A22" s="27" t="s">
        <v>61</v>
      </c>
      <c r="B22" s="27" t="n">
        <v>75</v>
      </c>
      <c r="C22" s="23" t="n">
        <v>4.87224028753664</v>
      </c>
      <c r="D22" s="23" t="n">
        <v>9.2358455686739</v>
      </c>
      <c r="E22" s="23" t="n">
        <v>-0.0238923551065508</v>
      </c>
      <c r="F22" s="23" t="n">
        <v>1.87973412445899E-005</v>
      </c>
      <c r="G22" s="24" t="n">
        <v>108.5</v>
      </c>
      <c r="H22" s="24" t="n">
        <v>179.03</v>
      </c>
      <c r="I22" s="25" t="s">
        <v>50</v>
      </c>
    </row>
    <row r="23" customFormat="false" ht="15" hidden="false" customHeight="false" outlineLevel="0" collapsed="false">
      <c r="A23" s="27" t="s">
        <v>62</v>
      </c>
      <c r="B23" s="27" t="n">
        <v>70</v>
      </c>
      <c r="C23" s="23" t="n">
        <v>-544.865889213216</v>
      </c>
      <c r="D23" s="23" t="n">
        <v>24.184078393271</v>
      </c>
      <c r="E23" s="23" t="n">
        <v>-0.140184645286754</v>
      </c>
      <c r="F23" s="23" t="n">
        <v>0.000323939099449473</v>
      </c>
      <c r="G23" s="24" t="n">
        <v>99.52</v>
      </c>
      <c r="H23" s="24" t="n">
        <v>160.15</v>
      </c>
      <c r="I23" s="25" t="s">
        <v>50</v>
      </c>
    </row>
    <row r="24" customFormat="false" ht="15" hidden="false" customHeight="false" outlineLevel="0" collapsed="false">
      <c r="A24" s="27" t="s">
        <v>63</v>
      </c>
      <c r="B24" s="27" t="n">
        <v>65</v>
      </c>
      <c r="C24" s="23" t="n">
        <v>602.73383917202</v>
      </c>
      <c r="D24" s="23" t="n">
        <v>0.910638514177</v>
      </c>
      <c r="E24" s="23" t="n">
        <v>0.0314465670198497</v>
      </c>
      <c r="F24" s="23" t="n">
        <v>-9.76455978644601E-005</v>
      </c>
      <c r="G24" s="24" t="n">
        <v>85.79</v>
      </c>
      <c r="H24" s="24" t="n">
        <v>146.51</v>
      </c>
      <c r="I24" s="25" t="s">
        <v>50</v>
      </c>
    </row>
    <row r="26" customFormat="false" ht="15" hidden="false" customHeight="false" outlineLevel="0" collapsed="false">
      <c r="A26" s="28" t="s">
        <v>64</v>
      </c>
    </row>
    <row r="27" customFormat="false" ht="15" hidden="false" customHeight="false" outlineLevel="0" collapsed="false">
      <c r="A27" s="29" t="s">
        <v>65</v>
      </c>
    </row>
    <row r="28" customFormat="false" ht="15" hidden="false" customHeight="false" outlineLevel="0" collapsed="false">
      <c r="A28" s="29" t="s">
        <v>66</v>
      </c>
    </row>
    <row r="29" customFormat="false" ht="15" hidden="false" customHeight="false" outlineLevel="0" collapsed="false">
      <c r="A29" s="29" t="s">
        <v>67</v>
      </c>
    </row>
    <row r="30" customFormat="false" ht="15" hidden="false" customHeight="false" outlineLevel="0" collapsed="false">
      <c r="A30" s="29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Q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5" min="1" style="0" width="10"/>
  </cols>
  <sheetData>
    <row r="1" customFormat="false" ht="15" hidden="false" customHeight="false" outlineLevel="0" collapsed="false">
      <c r="A1" s="30" t="s">
        <v>69</v>
      </c>
    </row>
    <row r="3" customFormat="false" ht="15" hidden="false" customHeight="false" outlineLevel="0" collapsed="false">
      <c r="A3" s="30" t="s">
        <v>70</v>
      </c>
      <c r="D3" s="30" t="s">
        <v>71</v>
      </c>
      <c r="G3" s="30" t="s">
        <v>72</v>
      </c>
      <c r="J3" s="30" t="s">
        <v>73</v>
      </c>
      <c r="M3" s="30" t="s">
        <v>74</v>
      </c>
      <c r="P3" s="30" t="s">
        <v>75</v>
      </c>
      <c r="S3" s="30" t="s">
        <v>76</v>
      </c>
      <c r="V3" s="30" t="s">
        <v>77</v>
      </c>
      <c r="Y3" s="30" t="s">
        <v>78</v>
      </c>
      <c r="AB3" s="30" t="s">
        <v>79</v>
      </c>
      <c r="AE3" s="30" t="s">
        <v>80</v>
      </c>
      <c r="AH3" s="30" t="s">
        <v>81</v>
      </c>
      <c r="AK3" s="30" t="s">
        <v>82</v>
      </c>
      <c r="AN3" s="30" t="s">
        <v>83</v>
      </c>
      <c r="AQ3" s="30" t="s">
        <v>84</v>
      </c>
      <c r="AT3" s="30" t="s">
        <v>85</v>
      </c>
      <c r="AW3" s="30" t="s">
        <v>86</v>
      </c>
      <c r="AZ3" s="30" t="s">
        <v>87</v>
      </c>
      <c r="BI3" s="30" t="s">
        <v>88</v>
      </c>
      <c r="CL3" s="30" t="s">
        <v>89</v>
      </c>
    </row>
    <row r="4" customFormat="false" ht="15" hidden="false" customHeight="false" outlineLevel="0" collapsed="false">
      <c r="A4" s="30" t="s">
        <v>90</v>
      </c>
      <c r="B4" s="30" t="s">
        <v>91</v>
      </c>
      <c r="D4" s="30" t="s">
        <v>90</v>
      </c>
      <c r="E4" s="30" t="s">
        <v>91</v>
      </c>
      <c r="G4" s="30" t="s">
        <v>90</v>
      </c>
      <c r="H4" s="30" t="s">
        <v>91</v>
      </c>
      <c r="J4" s="30" t="s">
        <v>90</v>
      </c>
      <c r="K4" s="30" t="s">
        <v>91</v>
      </c>
      <c r="M4" s="30" t="s">
        <v>90</v>
      </c>
      <c r="N4" s="30" t="s">
        <v>91</v>
      </c>
      <c r="P4" s="30" t="s">
        <v>90</v>
      </c>
      <c r="Q4" s="30" t="s">
        <v>91</v>
      </c>
      <c r="S4" s="30" t="s">
        <v>90</v>
      </c>
      <c r="T4" s="30" t="s">
        <v>91</v>
      </c>
      <c r="V4" s="30" t="s">
        <v>90</v>
      </c>
      <c r="W4" s="30" t="s">
        <v>91</v>
      </c>
      <c r="Y4" s="30" t="s">
        <v>90</v>
      </c>
      <c r="Z4" s="30" t="s">
        <v>91</v>
      </c>
      <c r="AB4" s="30" t="s">
        <v>90</v>
      </c>
      <c r="AC4" s="30" t="s">
        <v>91</v>
      </c>
      <c r="AE4" s="30" t="s">
        <v>90</v>
      </c>
      <c r="AF4" s="30" t="s">
        <v>91</v>
      </c>
      <c r="AH4" s="30" t="s">
        <v>90</v>
      </c>
      <c r="AI4" s="30" t="s">
        <v>91</v>
      </c>
      <c r="AK4" s="30" t="s">
        <v>90</v>
      </c>
      <c r="AL4" s="30" t="s">
        <v>91</v>
      </c>
      <c r="AN4" s="30" t="s">
        <v>90</v>
      </c>
      <c r="AO4" s="30" t="s">
        <v>91</v>
      </c>
      <c r="AQ4" s="30" t="s">
        <v>90</v>
      </c>
      <c r="AR4" s="30" t="s">
        <v>91</v>
      </c>
      <c r="AT4" s="30" t="s">
        <v>90</v>
      </c>
      <c r="AU4" s="30" t="s">
        <v>91</v>
      </c>
      <c r="AW4" s="30" t="s">
        <v>90</v>
      </c>
      <c r="AX4" s="30" t="s">
        <v>91</v>
      </c>
      <c r="AZ4" s="30" t="s">
        <v>92</v>
      </c>
      <c r="BA4" s="30" t="s">
        <v>93</v>
      </c>
      <c r="BC4" s="30" t="s">
        <v>94</v>
      </c>
      <c r="BD4" s="30" t="s">
        <v>95</v>
      </c>
      <c r="BF4" s="30" t="s">
        <v>96</v>
      </c>
      <c r="BG4" s="30" t="s">
        <v>97</v>
      </c>
      <c r="BI4" s="30" t="s">
        <v>98</v>
      </c>
      <c r="BJ4" s="30" t="s">
        <v>99</v>
      </c>
      <c r="BK4" s="30" t="s">
        <v>100</v>
      </c>
      <c r="BL4" s="30" t="s">
        <v>101</v>
      </c>
      <c r="BM4" s="30" t="s">
        <v>102</v>
      </c>
      <c r="BN4" s="30" t="s">
        <v>103</v>
      </c>
      <c r="BO4" s="30" t="s">
        <v>104</v>
      </c>
      <c r="BP4" s="30" t="s">
        <v>105</v>
      </c>
      <c r="BQ4" s="30" t="s">
        <v>106</v>
      </c>
      <c r="BR4" s="30" t="s">
        <v>107</v>
      </c>
      <c r="BS4" s="30" t="s">
        <v>108</v>
      </c>
      <c r="BT4" s="30" t="s">
        <v>109</v>
      </c>
      <c r="BU4" s="30" t="s">
        <v>110</v>
      </c>
      <c r="BV4" s="30" t="s">
        <v>111</v>
      </c>
      <c r="BW4" s="30" t="s">
        <v>112</v>
      </c>
      <c r="BX4" s="30" t="s">
        <v>113</v>
      </c>
      <c r="BY4" s="30" t="s">
        <v>114</v>
      </c>
      <c r="BZ4" s="30" t="s">
        <v>115</v>
      </c>
      <c r="CA4" s="30" t="s">
        <v>116</v>
      </c>
      <c r="CB4" s="30" t="s">
        <v>117</v>
      </c>
      <c r="CC4" s="30" t="s">
        <v>118</v>
      </c>
      <c r="CD4" s="30" t="s">
        <v>119</v>
      </c>
      <c r="CE4" s="30" t="s">
        <v>120</v>
      </c>
      <c r="CF4" s="30" t="s">
        <v>121</v>
      </c>
      <c r="CG4" s="30" t="s">
        <v>122</v>
      </c>
      <c r="CH4" s="30" t="s">
        <v>123</v>
      </c>
      <c r="CI4" s="30" t="s">
        <v>124</v>
      </c>
      <c r="CJ4" s="30" t="s">
        <v>125</v>
      </c>
      <c r="CL4" s="30" t="s">
        <v>126</v>
      </c>
      <c r="CM4" s="30" t="s">
        <v>127</v>
      </c>
      <c r="CN4" s="30" t="s">
        <v>128</v>
      </c>
      <c r="CO4" s="30" t="s">
        <v>129</v>
      </c>
      <c r="CP4" s="30" t="s">
        <v>130</v>
      </c>
      <c r="CQ4" s="30" t="s">
        <v>131</v>
      </c>
    </row>
    <row r="5" customFormat="false" ht="15" hidden="false" customHeight="false" outlineLevel="0" collapsed="false">
      <c r="A5" s="31" t="n">
        <f aca="false">Polinomios!$F$5+0*(Polinomios!$G$5-Polinomios!$F$5)/40</f>
        <v>0</v>
      </c>
      <c r="B5" s="31" t="n">
        <f aca="false">(Polinomios!$B$5+Polinomios!$C$5*A5+Polinomios!$D$5*A5^2+Polinomios!$E$5*A5^3)</f>
        <v>159.547722468647</v>
      </c>
      <c r="D5" s="31" t="n">
        <f aca="false">Polinomios!$F$6+0*(Polinomios!$G$6-Polinomios!$F$6)/40</f>
        <v>0</v>
      </c>
      <c r="E5" s="31" t="n">
        <f aca="false">(Polinomios!$B$6+Polinomios!$C$6*D5+Polinomios!$D$6*D5^2+Polinomios!$E$6*D5^3)</f>
        <v>219.974820221592</v>
      </c>
      <c r="G5" s="31" t="n">
        <f aca="false">Polinomios!$F$7+0*(Polinomios!$G$7-Polinomios!$F$7)/40</f>
        <v>0</v>
      </c>
      <c r="H5" s="31" t="n">
        <f aca="false">(Polinomios!$B$7+Polinomios!$C$7*G5+Polinomios!$D$7*G5^2+Polinomios!$E$7*G5^3)</f>
        <v>273.414469856574</v>
      </c>
      <c r="J5" s="31" t="n">
        <f aca="false">Polinomios!$F$8+0*(Polinomios!$G$8-Polinomios!$F$8)/40</f>
        <v>0</v>
      </c>
      <c r="K5" s="31" t="n">
        <f aca="false">(Polinomios!$B$8+Polinomios!$C$8*J5+Polinomios!$D$8*J5^2+Polinomios!$E$8*J5^3)</f>
        <v>321.309240174364</v>
      </c>
      <c r="M5" s="31" t="n">
        <f aca="false">(Polinomios!$C$12+Polinomios!$D$12*N5+Polinomios!$E$12*N5^2+Polinomios!$F$12*N5^3)</f>
        <v>297.958783315958</v>
      </c>
      <c r="N5" s="31" t="n">
        <f aca="false">Polinomios!$G$12+0*(Polinomios!$H$12-Polinomios!$G$12)/20</f>
        <v>153.83</v>
      </c>
      <c r="P5" s="31" t="n">
        <f aca="false">(Polinomios!$C$13+Polinomios!$D$13*Q5+Polinomios!$E$13*Q5^2+Polinomios!$F$13*Q5^3)</f>
        <v>369.812601163883</v>
      </c>
      <c r="Q5" s="31" t="n">
        <f aca="false">Polinomios!$G$13+0*(Polinomios!$H$13-Polinomios!$G$13)/20</f>
        <v>150.97</v>
      </c>
      <c r="S5" s="31" t="n">
        <f aca="false">(Polinomios!$C$14+Polinomios!$D$14*T5+Polinomios!$E$14*T5^2+Polinomios!$F$14*T5^3)</f>
        <v>429.948359187186</v>
      </c>
      <c r="T5" s="31" t="n">
        <f aca="false">Polinomios!$G$14+0*(Polinomios!$H$14-Polinomios!$G$14)/20</f>
        <v>147.66</v>
      </c>
      <c r="V5" s="31" t="n">
        <f aca="false">(Polinomios!$C$15+Polinomios!$D$15*W5+Polinomios!$E$15*W5^2+Polinomios!$F$15*W5^3)</f>
        <v>497.361507912126</v>
      </c>
      <c r="W5" s="31" t="n">
        <f aca="false">Polinomios!$G$15+0*(Polinomios!$H$15-Polinomios!$G$15)/20</f>
        <v>142.72</v>
      </c>
      <c r="Y5" s="31" t="n">
        <f aca="false">(Polinomios!$C$16+Polinomios!$D$16*Z5+Polinomios!$E$16*Z5^2+Polinomios!$F$16*Z5^3)</f>
        <v>557.186110657084</v>
      </c>
      <c r="Z5" s="31" t="n">
        <f aca="false">Polinomios!$G$16+0*(Polinomios!$H$16-Polinomios!$G$16)/20</f>
        <v>137.05</v>
      </c>
      <c r="AB5" s="31" t="n">
        <f aca="false">(Polinomios!$C$17+Polinomios!$D$17*AC5+Polinomios!$E$17*AC5^2+Polinomios!$F$17*AC5^3)</f>
        <v>615.755915087209</v>
      </c>
      <c r="AC5" s="31" t="n">
        <f aca="false">Polinomios!$G$17+0*(Polinomios!$H$17-Polinomios!$G$17)/20</f>
        <v>130.16</v>
      </c>
      <c r="AE5" s="31" t="n">
        <f aca="false">(Polinomios!$C$18+Polinomios!$D$18*AF5+Polinomios!$E$18*AF5^2+Polinomios!$F$18*AF5^3)</f>
        <v>736.999644321043</v>
      </c>
      <c r="AF5" s="31" t="n">
        <f aca="false">Polinomios!$G$18+0*(Polinomios!$H$18-Polinomios!$G$18)/20</f>
        <v>172</v>
      </c>
      <c r="AH5" s="31" t="n">
        <f aca="false">(Polinomios!$C$19+Polinomios!$D$19*AI5+Polinomios!$E$19*AI5^2+Polinomios!$F$19*AI5^3)</f>
        <v>737.000274495875</v>
      </c>
      <c r="AI5" s="31" t="n">
        <f aca="false">Polinomios!$G$19+0*(Polinomios!$H$19-Polinomios!$G$19)/20</f>
        <v>172</v>
      </c>
      <c r="AK5" s="31" t="n">
        <f aca="false">(Polinomios!$C$20+Polinomios!$D$20*AL5+Polinomios!$E$20*AL5^2+Polinomios!$F$20*AL5^3)</f>
        <v>654.107101298067</v>
      </c>
      <c r="AL5" s="31" t="n">
        <f aca="false">Polinomios!$G$20+0*(Polinomios!$H$20-Polinomios!$G$20)/20</f>
        <v>124.84</v>
      </c>
      <c r="AN5" s="31" t="n">
        <f aca="false">(Polinomios!$C$21+Polinomios!$D$21*AO5+Polinomios!$E$21*AO5^2+Polinomios!$F$21*AO5^3)</f>
        <v>708.470295061842</v>
      </c>
      <c r="AO5" s="31" t="n">
        <f aca="false">Polinomios!$G$21+0*(Polinomios!$H$21-Polinomios!$G$21)/20</f>
        <v>116.12</v>
      </c>
      <c r="AQ5" s="31" t="n">
        <f aca="false">(Polinomios!$C$22+Polinomios!$D$22*AR5+Polinomios!$E$22*AR5^2+Polinomios!$F$22*AR5^3)</f>
        <v>749.704346636191</v>
      </c>
      <c r="AR5" s="31" t="n">
        <f aca="false">Polinomios!$G$22+0*(Polinomios!$H$22-Polinomios!$G$22)/20</f>
        <v>108.5</v>
      </c>
      <c r="AT5" s="31" t="n">
        <f aca="false">(Polinomios!$C$23+Polinomios!$D$23*AU5+Polinomios!$E$23*AU5^2+Polinomios!$F$23*AU5^3)</f>
        <v>792.809298285712</v>
      </c>
      <c r="AU5" s="31" t="n">
        <f aca="false">Polinomios!$G$23+0*(Polinomios!$H$23-Polinomios!$G$23)/20</f>
        <v>99.52</v>
      </c>
      <c r="AW5" s="31" t="n">
        <f aca="false">(Polinomios!$C$24+Polinomios!$D$24*AX5+Polinomios!$E$24*AX5^2+Polinomios!$F$24*AX5^3)</f>
        <v>850.647663002195</v>
      </c>
      <c r="AX5" s="31" t="n">
        <f aca="false">Polinomios!$G$24+0*(Polinomios!$H$24-Polinomios!$G$24)/20</f>
        <v>85.79</v>
      </c>
      <c r="AZ5" s="0" t="n">
        <v>0</v>
      </c>
      <c r="BA5" s="32" t="n">
        <f aca="false">Grafica!$D$18</f>
        <v>220</v>
      </c>
      <c r="BC5" s="0" t="n">
        <v>0</v>
      </c>
      <c r="BD5" s="32" t="n">
        <f aca="false">Grafica!$D$19</f>
        <v>203</v>
      </c>
      <c r="BF5" s="0" t="n">
        <v>0</v>
      </c>
      <c r="BG5" s="32" t="n">
        <f aca="false">Grafica!$D$20</f>
        <v>225</v>
      </c>
      <c r="BI5" s="32" t="n">
        <f aca="false">Grafica!$C$12</f>
        <v>240</v>
      </c>
      <c r="BJ5" s="32" t="n">
        <f aca="false">Qmax_649</f>
        <v>1130</v>
      </c>
      <c r="BK5" s="33" t="n">
        <f aca="false">IF(ISNUMBER(BI5),MAX(0,BJ5-((a0_649+a1_649*BJ5+a2_649*BJ5^2+a3_649*BJ5^3)-BI5)/(a1_649+2*a2_649*BJ5+3*a3_649*BJ5^2)),0)</f>
        <v>957.315824698208</v>
      </c>
      <c r="BL5" s="33" t="n">
        <f aca="false">IF(ISNUMBER(BI5),MAX(0,BK5-((a0_649+a1_649*BK5+a2_649*BK5^2+a3_649*BK5^3)-BI5)/(a1_649+2*a2_649*BK5+3*a3_649*BK5^2)),0)</f>
        <v>916.905927417982</v>
      </c>
      <c r="BM5" s="33" t="n">
        <f aca="false">IF(ISNUMBER(BI5),MAX(0,BL5-((a0_649+a1_649*BL5+a2_649*BL5^2+a3_649*BL5^3)-BI5)/(a1_649+2*a2_649*BL5+3*a3_649*BL5^2)),0)</f>
        <v>914.824069979317</v>
      </c>
      <c r="BN5" s="33" t="n">
        <f aca="false">IF(ISNUMBER(BI5),MAX(0,BM5-((a0_649+a1_649*BM5+a2_649*BM5^2+a3_649*BM5^3)-BI5)/(a1_649+2*a2_649*BM5+3*a3_649*BM5^2)),0)</f>
        <v>914.818720679521</v>
      </c>
      <c r="BO5" s="33" t="n">
        <f aca="false">IF(ISNUMBER(BI5),MAX(0,BN5-((a0_649+a1_649*BN5+a2_649*BN5^2+a3_649*BN5^3)-BI5)/(a1_649+2*a2_649*BN5+3*a3_649*BN5^2)),0)</f>
        <v>914.818720644271</v>
      </c>
      <c r="BP5" s="33" t="n">
        <f aca="false">IF(ISNUMBER(BI5),MAX(0,BO5-((a0_649+a1_649*BO5+a2_649*BO5^2+a3_649*BO5^3)-BI5)/(a1_649+2*a2_649*BO5+3*a3_649*BO5^2)),0)</f>
        <v>914.818720644271</v>
      </c>
      <c r="BQ5" s="33" t="n">
        <f aca="false">IF(ISNUMBER(BI5),MAX(0,BP5-((a0_649+a1_649*BP5+a2_649*BP5^2+a3_649*BP5^3)-BI5)/(a1_649+2*a2_649*BP5+3*a3_649*BP5^2)),0)</f>
        <v>914.818720644271</v>
      </c>
      <c r="BR5" s="33" t="n">
        <f aca="false">IF(ISNUMBER(BI5),MAX(0,BQ5-((a0_649+a1_649*BQ5+a2_649*BQ5^2+a3_649*BQ5^3)-BI5)/(a1_649+2*a2_649*BQ5+3*a3_649*BQ5^2)),0)</f>
        <v>914.818720644271</v>
      </c>
      <c r="BS5" s="33" t="n">
        <f aca="false">IF(ISNUMBER(BI5),MAX(0,BR5-((a0_649+a1_649*BR5+a2_649*BR5^2+a3_649*BR5^3)-BI5)/(a1_649+2*a2_649*BR5+3*a3_649*BR5^2)),0)</f>
        <v>914.818720644271</v>
      </c>
      <c r="BT5" s="33" t="n">
        <f aca="false">IF(ISNUMBER(BI5),MAX(0,BS5-((a0_649+a1_649*BS5+a2_649*BS5^2+a3_649*BS5^3)-BI5)/(a1_649+2*a2_649*BS5+3*a3_649*BS5^2)),0)</f>
        <v>914.818720644271</v>
      </c>
      <c r="BU5" s="33" t="n">
        <f aca="false">IF(ISNUMBER(BI5),MAX(0,BT5-((a0_649+a1_649*BT5+a2_649*BT5^2+a3_649*BT5^3)-BI5)/(a1_649+2*a2_649*BT5+3*a3_649*BT5^2)),0)</f>
        <v>914.818720644271</v>
      </c>
      <c r="BV5" s="33" t="n">
        <f aca="false">IF(ISNUMBER(BI5),MAX(0,BU5-((a0_649+a1_649*BU5+a2_649*BU5^2+a3_649*BU5^3)-BI5)/(a1_649+2*a2_649*BU5+3*a3_649*BU5^2)),0)</f>
        <v>914.818720644271</v>
      </c>
      <c r="BW5" s="33" t="n">
        <f aca="false">IF(ISNUMBER(BI5),MAX(0,BV5-((a0_649+a1_649*BV5+a2_649*BV5^2+a3_649*BV5^3)-BI5)/(a1_649+2*a2_649*BV5+3*a3_649*BV5^2)),0)</f>
        <v>914.818720644271</v>
      </c>
      <c r="BX5" s="33" t="n">
        <f aca="false">IF(ISNUMBER(BI5),MAX(0,BW5-((a0_649+a1_649*BW5+a2_649*BW5^2+a3_649*BW5^3)-BI5)/(a1_649+2*a2_649*BW5+3*a3_649*BW5^2)),0)</f>
        <v>914.818720644271</v>
      </c>
      <c r="BY5" s="33" t="n">
        <f aca="false">IF(ISNUMBER(BI5),MAX(0,BX5-((a0_649+a1_649*BX5+a2_649*BX5^2+a3_649*BX5^3)-BI5)/(a1_649+2*a2_649*BX5+3*a3_649*BX5^2)),0)</f>
        <v>914.818720644271</v>
      </c>
      <c r="BZ5" s="33" t="n">
        <f aca="false">IF(ISNUMBER(BI5),MAX(0,BY5-((a0_649+a1_649*BY5+a2_649*BY5^2+a3_649*BY5^3)-BI5)/(a1_649+2*a2_649*BY5+3*a3_649*BY5^2)),0)</f>
        <v>914.818720644271</v>
      </c>
      <c r="CA5" s="33" t="n">
        <f aca="false">IF(ISNUMBER(BI5),MAX(0,BZ5-((a0_649+a1_649*BZ5+a2_649*BZ5^2+a3_649*BZ5^3)-BI5)/(a1_649+2*a2_649*BZ5+3*a3_649*BZ5^2)),0)</f>
        <v>914.818720644271</v>
      </c>
      <c r="CB5" s="33" t="n">
        <f aca="false">IF(ISNUMBER(BI5),MAX(0,CA5-((a0_649+a1_649*CA5+a2_649*CA5^2+a3_649*CA5^3)-BI5)/(a1_649+2*a2_649*CA5+3*a3_649*CA5^2)),0)</f>
        <v>914.818720644271</v>
      </c>
      <c r="CC5" s="33" t="n">
        <f aca="false">IF(ISNUMBER(BI5),MAX(0,CB5-((a0_649+a1_649*CB5+a2_649*CB5^2+a3_649*CB5^3)-BI5)/(a1_649+2*a2_649*CB5+3*a3_649*CB5^2)),0)</f>
        <v>914.818720644271</v>
      </c>
      <c r="CD5" s="33" t="n">
        <f aca="false">IF(ISNUMBER(BI5),MAX(0,CC5-((a0_649+a1_649*CC5+a2_649*CC5^2+a3_649*CC5^3)-BI5)/(a1_649+2*a2_649*CC5+3*a3_649*CC5^2)),0)</f>
        <v>914.818720644271</v>
      </c>
      <c r="CE5" s="33" t="n">
        <f aca="false">IF(ISNUMBER(BI5),MAX(0,CD5-((a0_649+a1_649*CD5+a2_649*CD5^2+a3_649*CD5^3)-BI5)/(a1_649+2*a2_649*CD5+3*a3_649*CD5^2)),0)</f>
        <v>914.818720644271</v>
      </c>
      <c r="CF5" s="33" t="n">
        <f aca="false">IF(ISNUMBER(BI5),MAX(0,CE5-((a0_649+a1_649*CE5+a2_649*CE5^2+a3_649*CE5^3)-BI5)/(a1_649+2*a2_649*CE5+3*a3_649*CE5^2)),0)</f>
        <v>914.818720644271</v>
      </c>
      <c r="CG5" s="33" t="n">
        <f aca="false">IF(ISNUMBER(BI5),MAX(0,CF5-((a0_649+a1_649*CF5+a2_649*CF5^2+a3_649*CF5^3)-BI5)/(a1_649+2*a2_649*CF5+3*a3_649*CF5^2)),0)</f>
        <v>914.818720644271</v>
      </c>
      <c r="CH5" s="33" t="n">
        <f aca="false">IF(ISNUMBER(BI5),MAX(0,CG5-((a0_649+a1_649*CG5+a2_649*CG5^2+a3_649*CG5^3)-BI5)/(a1_649+2*a2_649*CG5+3*a3_649*CG5^2)),0)</f>
        <v>914.818720644271</v>
      </c>
      <c r="CI5" s="33" t="n">
        <f aca="false">IF(ISNUMBER(BI5),MAX(0,CH5-((a0_649+a1_649*CH5+a2_649*CH5^2+a3_649*CH5^3)-BI5)/(a1_649+2*a2_649*CH5+3*a3_649*CH5^2)),0)</f>
        <v>914.818720644271</v>
      </c>
      <c r="CJ5" s="34" t="n">
        <f aca="false">CI5</f>
        <v>914.818720644271</v>
      </c>
      <c r="CL5" s="32" t="n">
        <f aca="false">IF(ISNUMBER(Grafica!$C$6),Grafica!$C$6,NA())</f>
        <v>900</v>
      </c>
      <c r="CM5" s="31" t="n">
        <f aca="false">IF(ISNUMBER(Grafica!$D$6),Grafica!$D$6,NA())</f>
        <v>243.697415727525</v>
      </c>
      <c r="CN5" s="0" t="str">
        <f aca="false">IF(ISNUMBER(Grafica!$D$6),"P1: Q="&amp;TEXT(Grafica!$C$6,"0")&amp;" ; H="&amp;TEXT(Grafica!$D$6,"0.0"),"P1")</f>
        <v>P1: Q=900 ; H=243.7</v>
      </c>
      <c r="CO5" s="31" t="n">
        <f aca="false">IF(ISNUMBER(Grafica!$D$12),Grafica!$D$12,NA())</f>
        <v>914.818720644271</v>
      </c>
      <c r="CP5" s="32" t="n">
        <f aca="false">IF(ISNUMBER(Grafica!$D$12),Grafica!$C$12,NA())</f>
        <v>240</v>
      </c>
      <c r="CQ5" s="0" t="str">
        <f aca="false">IF(ISNUMBER(Grafica!$D$12),"G1: Q="&amp;TEXT(Grafica!$D$12,"0")&amp;" ; H="&amp;TEXT(Grafica!$C$12,"0.0"),"G1")</f>
        <v>G1: Q=915 ; H=240.0</v>
      </c>
    </row>
    <row r="6" customFormat="false" ht="15" hidden="false" customHeight="false" outlineLevel="0" collapsed="false">
      <c r="A6" s="31" t="n">
        <f aca="false">Polinomios!$F$5+1*(Polinomios!$G$5-Polinomios!$F$5)/40</f>
        <v>21.25</v>
      </c>
      <c r="B6" s="31" t="n">
        <f aca="false">(Polinomios!$B$5+Polinomios!$C$5*A6+Polinomios!$D$5*A6^2+Polinomios!$E$5*A6^3)</f>
        <v>159.186473423617</v>
      </c>
      <c r="D6" s="31" t="n">
        <f aca="false">Polinomios!$F$6+1*(Polinomios!$G$6-Polinomios!$F$6)/40</f>
        <v>24.375</v>
      </c>
      <c r="E6" s="31" t="n">
        <f aca="false">(Polinomios!$B$6+Polinomios!$C$6*D6+Polinomios!$D$6*D6^2+Polinomios!$E$6*D6^3)</f>
        <v>219.353981501858</v>
      </c>
      <c r="G6" s="31" t="n">
        <f aca="false">Polinomios!$F$7+1*(Polinomios!$G$7-Polinomios!$F$7)/40</f>
        <v>27.6</v>
      </c>
      <c r="H6" s="31" t="n">
        <f aca="false">(Polinomios!$B$7+Polinomios!$C$7*G6+Polinomios!$D$7*G6^2+Polinomios!$E$7*G6^3)</f>
        <v>272.398404558321</v>
      </c>
      <c r="J6" s="31" t="n">
        <f aca="false">Polinomios!$F$8+1*(Polinomios!$G$8-Polinomios!$F$8)/40</f>
        <v>28.25</v>
      </c>
      <c r="K6" s="31" t="n">
        <f aca="false">(Polinomios!$B$8+Polinomios!$C$8*J6+Polinomios!$D$8*J6^2+Polinomios!$E$8*J6^3)</f>
        <v>320.108175057921</v>
      </c>
      <c r="M6" s="31" t="n">
        <f aca="false">(Polinomios!$C$12+Polinomios!$D$12*N6+Polinomios!$E$12*N6^2+Polinomios!$F$12*N6^3)</f>
        <v>299.7550108342</v>
      </c>
      <c r="N6" s="31" t="n">
        <f aca="false">Polinomios!$G$12+1*(Polinomios!$H$12-Polinomios!$G$12)/20</f>
        <v>159.2895</v>
      </c>
      <c r="P6" s="31" t="n">
        <f aca="false">(Polinomios!$C$13+Polinomios!$D$13*Q6+Polinomios!$E$13*Q6^2+Polinomios!$F$13*Q6^3)</f>
        <v>370.785185285538</v>
      </c>
      <c r="Q6" s="31" t="n">
        <f aca="false">Polinomios!$G$13+1*(Polinomios!$H$13-Polinomios!$G$13)/20</f>
        <v>156.441</v>
      </c>
      <c r="S6" s="31" t="n">
        <f aca="false">(Polinomios!$C$14+Polinomios!$D$14*T6+Polinomios!$E$14*T6^2+Polinomios!$F$14*T6^3)</f>
        <v>432.36591738461</v>
      </c>
      <c r="T6" s="31" t="n">
        <f aca="false">Polinomios!$G$14+1*(Polinomios!$H$14-Polinomios!$G$14)/20</f>
        <v>153.094</v>
      </c>
      <c r="V6" s="31" t="n">
        <f aca="false">(Polinomios!$C$15+Polinomios!$D$15*W6+Polinomios!$E$15*W6^2+Polinomios!$F$15*W6^3)</f>
        <v>499.871206757857</v>
      </c>
      <c r="W6" s="31" t="n">
        <f aca="false">Polinomios!$G$15+1*(Polinomios!$H$15-Polinomios!$G$15)/20</f>
        <v>148.084</v>
      </c>
      <c r="Y6" s="31" t="n">
        <f aca="false">(Polinomios!$C$16+Polinomios!$D$16*Z6+Polinomios!$E$16*Z6^2+Polinomios!$F$16*Z6^3)</f>
        <v>559.829781765222</v>
      </c>
      <c r="Z6" s="31" t="n">
        <f aca="false">Polinomios!$G$16+1*(Polinomios!$H$16-Polinomios!$G$16)/20</f>
        <v>142.368</v>
      </c>
      <c r="AB6" s="31" t="n">
        <f aca="false">(Polinomios!$C$17+Polinomios!$D$17*AC6+Polinomios!$E$17*AC6^2+Polinomios!$F$17*AC6^3)</f>
        <v>616.875076585094</v>
      </c>
      <c r="AC6" s="31" t="n">
        <f aca="false">Polinomios!$G$17+1*(Polinomios!$H$17-Polinomios!$G$17)/20</f>
        <v>135.56</v>
      </c>
      <c r="AE6" s="31" t="n">
        <f aca="false">(Polinomios!$C$18+Polinomios!$D$18*AF6+Polinomios!$E$18*AF6^2+Polinomios!$F$18*AF6^3)</f>
        <v>729.187787364587</v>
      </c>
      <c r="AF6" s="31" t="n">
        <f aca="false">Polinomios!$G$18+1*(Polinomios!$H$18-Polinomios!$G$18)/20</f>
        <v>175.1155</v>
      </c>
      <c r="AH6" s="31" t="n">
        <f aca="false">(Polinomios!$C$19+Polinomios!$D$19*AI6+Polinomios!$E$19*AI6^2+Polinomios!$F$19*AI6^3)</f>
        <v>749.107134586313</v>
      </c>
      <c r="AI6" s="31" t="n">
        <f aca="false">Polinomios!$G$19+1*(Polinomios!$H$19-Polinomios!$G$19)/20</f>
        <v>173.853</v>
      </c>
      <c r="AK6" s="31" t="n">
        <f aca="false">(Polinomios!$C$20+Polinomios!$D$20*AL6+Polinomios!$E$20*AL6^2+Polinomios!$F$20*AL6^3)</f>
        <v>679.659515456972</v>
      </c>
      <c r="AL6" s="31" t="n">
        <f aca="false">Polinomios!$G$20+1*(Polinomios!$H$20-Polinomios!$G$20)/20</f>
        <v>128.6045</v>
      </c>
      <c r="AN6" s="31" t="n">
        <f aca="false">(Polinomios!$C$21+Polinomios!$D$21*AO6+Polinomios!$E$21*AO6^2+Polinomios!$F$21*AO6^3)</f>
        <v>725.100284824486</v>
      </c>
      <c r="AO6" s="31" t="n">
        <f aca="false">Polinomios!$G$21+1*(Polinomios!$H$21-Polinomios!$G$21)/20</f>
        <v>119.9495</v>
      </c>
      <c r="AQ6" s="31" t="n">
        <f aca="false">(Polinomios!$C$22+Polinomios!$D$22*AR6+Polinomios!$E$22*AR6^2+Polinomios!$F$22*AR6^3)</f>
        <v>766.111810718428</v>
      </c>
      <c r="AR6" s="31" t="n">
        <f aca="false">Polinomios!$G$22+1*(Polinomios!$H$22-Polinomios!$G$22)/20</f>
        <v>112.0265</v>
      </c>
      <c r="AT6" s="31" t="n">
        <f aca="false">(Polinomios!$C$23+Polinomios!$D$23*AU6+Polinomios!$E$23*AU6^2+Polinomios!$F$23*AU6^3)</f>
        <v>810.325391907118</v>
      </c>
      <c r="AU6" s="31" t="n">
        <f aca="false">Polinomios!$G$23+1*(Polinomios!$H$23-Polinomios!$G$23)/20</f>
        <v>102.5515</v>
      </c>
      <c r="AW6" s="31" t="n">
        <f aca="false">(Polinomios!$C$24+Polinomios!$D$24*AX6+Polinomios!$E$24*AX6^2+Polinomios!$F$24*AX6^3)</f>
        <v>863.303295203128</v>
      </c>
      <c r="AX6" s="31" t="n">
        <f aca="false">Polinomios!$G$24+1*(Polinomios!$H$24-Polinomios!$G$24)/20</f>
        <v>88.826</v>
      </c>
      <c r="AZ6" s="32" t="n">
        <f aca="false">Grafica!$C$18</f>
        <v>820</v>
      </c>
      <c r="BA6" s="32" t="n">
        <f aca="false">Grafica!$D$18</f>
        <v>220</v>
      </c>
      <c r="BC6" s="32" t="n">
        <f aca="false">Grafica!$C$19</f>
        <v>1040</v>
      </c>
      <c r="BD6" s="32" t="n">
        <f aca="false">Grafica!$D$19</f>
        <v>203</v>
      </c>
      <c r="BF6" s="32" t="n">
        <f aca="false">Grafica!$C$20</f>
        <v>970</v>
      </c>
      <c r="BG6" s="32" t="n">
        <f aca="false">Grafica!$D$20</f>
        <v>225</v>
      </c>
      <c r="BI6" s="32" t="n">
        <f aca="false">Grafica!$C$13</f>
        <v>215</v>
      </c>
      <c r="BJ6" s="32" t="n">
        <f aca="false">Qmax_649</f>
        <v>1130</v>
      </c>
      <c r="BK6" s="33" t="n">
        <f aca="false">IF(ISNUMBER(BI6),MAX(0,BJ6-((a0_649+a1_649*BJ6+a2_649*BJ6^2+a3_649*BJ6^3)-BI6)/(a1_649+2*a2_649*BJ6+3*a3_649*BJ6^2)),0)</f>
        <v>1018.44912630622</v>
      </c>
      <c r="BL6" s="33" t="n">
        <f aca="false">IF(ISNUMBER(BI6),MAX(0,BK6-((a0_649+a1_649*BK6+a2_649*BK6^2+a3_649*BK6^3)-BI6)/(a1_649+2*a2_649*BK6+3*a3_649*BK6^2)),0)</f>
        <v>1003.44234869653</v>
      </c>
      <c r="BM6" s="33" t="n">
        <f aca="false">IF(ISNUMBER(BI6),MAX(0,BL6-((a0_649+a1_649*BL6+a2_649*BL6^2+a3_649*BL6^3)-BI6)/(a1_649+2*a2_649*BL6+3*a3_649*BL6^2)),0)</f>
        <v>1003.18631440858</v>
      </c>
      <c r="BN6" s="33" t="n">
        <f aca="false">IF(ISNUMBER(BI6),MAX(0,BM6-((a0_649+a1_649*BM6+a2_649*BM6^2+a3_649*BM6^3)-BI6)/(a1_649+2*a2_649*BM6+3*a3_649*BM6^2)),0)</f>
        <v>1003.1862407558</v>
      </c>
      <c r="BO6" s="33" t="n">
        <f aca="false">IF(ISNUMBER(BI6),MAX(0,BN6-((a0_649+a1_649*BN6+a2_649*BN6^2+a3_649*BN6^3)-BI6)/(a1_649+2*a2_649*BN6+3*a3_649*BN6^2)),0)</f>
        <v>1003.1862407558</v>
      </c>
      <c r="BP6" s="33" t="n">
        <f aca="false">IF(ISNUMBER(BI6),MAX(0,BO6-((a0_649+a1_649*BO6+a2_649*BO6^2+a3_649*BO6^3)-BI6)/(a1_649+2*a2_649*BO6+3*a3_649*BO6^2)),0)</f>
        <v>1003.1862407558</v>
      </c>
      <c r="BQ6" s="33" t="n">
        <f aca="false">IF(ISNUMBER(BI6),MAX(0,BP6-((a0_649+a1_649*BP6+a2_649*BP6^2+a3_649*BP6^3)-BI6)/(a1_649+2*a2_649*BP6+3*a3_649*BP6^2)),0)</f>
        <v>1003.1862407558</v>
      </c>
      <c r="BR6" s="33" t="n">
        <f aca="false">IF(ISNUMBER(BI6),MAX(0,BQ6-((a0_649+a1_649*BQ6+a2_649*BQ6^2+a3_649*BQ6^3)-BI6)/(a1_649+2*a2_649*BQ6+3*a3_649*BQ6^2)),0)</f>
        <v>1003.1862407558</v>
      </c>
      <c r="BS6" s="33" t="n">
        <f aca="false">IF(ISNUMBER(BI6),MAX(0,BR6-((a0_649+a1_649*BR6+a2_649*BR6^2+a3_649*BR6^3)-BI6)/(a1_649+2*a2_649*BR6+3*a3_649*BR6^2)),0)</f>
        <v>1003.1862407558</v>
      </c>
      <c r="BT6" s="33" t="n">
        <f aca="false">IF(ISNUMBER(BI6),MAX(0,BS6-((a0_649+a1_649*BS6+a2_649*BS6^2+a3_649*BS6^3)-BI6)/(a1_649+2*a2_649*BS6+3*a3_649*BS6^2)),0)</f>
        <v>1003.1862407558</v>
      </c>
      <c r="BU6" s="33" t="n">
        <f aca="false">IF(ISNUMBER(BI6),MAX(0,BT6-((a0_649+a1_649*BT6+a2_649*BT6^2+a3_649*BT6^3)-BI6)/(a1_649+2*a2_649*BT6+3*a3_649*BT6^2)),0)</f>
        <v>1003.1862407558</v>
      </c>
      <c r="BV6" s="33" t="n">
        <f aca="false">IF(ISNUMBER(BI6),MAX(0,BU6-((a0_649+a1_649*BU6+a2_649*BU6^2+a3_649*BU6^3)-BI6)/(a1_649+2*a2_649*BU6+3*a3_649*BU6^2)),0)</f>
        <v>1003.1862407558</v>
      </c>
      <c r="BW6" s="33" t="n">
        <f aca="false">IF(ISNUMBER(BI6),MAX(0,BV6-((a0_649+a1_649*BV6+a2_649*BV6^2+a3_649*BV6^3)-BI6)/(a1_649+2*a2_649*BV6+3*a3_649*BV6^2)),0)</f>
        <v>1003.1862407558</v>
      </c>
      <c r="BX6" s="33" t="n">
        <f aca="false">IF(ISNUMBER(BI6),MAX(0,BW6-((a0_649+a1_649*BW6+a2_649*BW6^2+a3_649*BW6^3)-BI6)/(a1_649+2*a2_649*BW6+3*a3_649*BW6^2)),0)</f>
        <v>1003.1862407558</v>
      </c>
      <c r="BY6" s="33" t="n">
        <f aca="false">IF(ISNUMBER(BI6),MAX(0,BX6-((a0_649+a1_649*BX6+a2_649*BX6^2+a3_649*BX6^3)-BI6)/(a1_649+2*a2_649*BX6+3*a3_649*BX6^2)),0)</f>
        <v>1003.1862407558</v>
      </c>
      <c r="BZ6" s="33" t="n">
        <f aca="false">IF(ISNUMBER(BI6),MAX(0,BY6-((a0_649+a1_649*BY6+a2_649*BY6^2+a3_649*BY6^3)-BI6)/(a1_649+2*a2_649*BY6+3*a3_649*BY6^2)),0)</f>
        <v>1003.1862407558</v>
      </c>
      <c r="CA6" s="33" t="n">
        <f aca="false">IF(ISNUMBER(BI6),MAX(0,BZ6-((a0_649+a1_649*BZ6+a2_649*BZ6^2+a3_649*BZ6^3)-BI6)/(a1_649+2*a2_649*BZ6+3*a3_649*BZ6^2)),0)</f>
        <v>1003.1862407558</v>
      </c>
      <c r="CB6" s="33" t="n">
        <f aca="false">IF(ISNUMBER(BI6),MAX(0,CA6-((a0_649+a1_649*CA6+a2_649*CA6^2+a3_649*CA6^3)-BI6)/(a1_649+2*a2_649*CA6+3*a3_649*CA6^2)),0)</f>
        <v>1003.1862407558</v>
      </c>
      <c r="CC6" s="33" t="n">
        <f aca="false">IF(ISNUMBER(BI6),MAX(0,CB6-((a0_649+a1_649*CB6+a2_649*CB6^2+a3_649*CB6^3)-BI6)/(a1_649+2*a2_649*CB6+3*a3_649*CB6^2)),0)</f>
        <v>1003.1862407558</v>
      </c>
      <c r="CD6" s="33" t="n">
        <f aca="false">IF(ISNUMBER(BI6),MAX(0,CC6-((a0_649+a1_649*CC6+a2_649*CC6^2+a3_649*CC6^3)-BI6)/(a1_649+2*a2_649*CC6+3*a3_649*CC6^2)),0)</f>
        <v>1003.1862407558</v>
      </c>
      <c r="CE6" s="33" t="n">
        <f aca="false">IF(ISNUMBER(BI6),MAX(0,CD6-((a0_649+a1_649*CD6+a2_649*CD6^2+a3_649*CD6^3)-BI6)/(a1_649+2*a2_649*CD6+3*a3_649*CD6^2)),0)</f>
        <v>1003.1862407558</v>
      </c>
      <c r="CF6" s="33" t="n">
        <f aca="false">IF(ISNUMBER(BI6),MAX(0,CE6-((a0_649+a1_649*CE6+a2_649*CE6^2+a3_649*CE6^3)-BI6)/(a1_649+2*a2_649*CE6+3*a3_649*CE6^2)),0)</f>
        <v>1003.1862407558</v>
      </c>
      <c r="CG6" s="33" t="n">
        <f aca="false">IF(ISNUMBER(BI6),MAX(0,CF6-((a0_649+a1_649*CF6+a2_649*CF6^2+a3_649*CF6^3)-BI6)/(a1_649+2*a2_649*CF6+3*a3_649*CF6^2)),0)</f>
        <v>1003.1862407558</v>
      </c>
      <c r="CH6" s="33" t="n">
        <f aca="false">IF(ISNUMBER(BI6),MAX(0,CG6-((a0_649+a1_649*CG6+a2_649*CG6^2+a3_649*CG6^3)-BI6)/(a1_649+2*a2_649*CG6+3*a3_649*CG6^2)),0)</f>
        <v>1003.1862407558</v>
      </c>
      <c r="CI6" s="33" t="n">
        <f aca="false">IF(ISNUMBER(BI6),MAX(0,CH6-((a0_649+a1_649*CH6+a2_649*CH6^2+a3_649*CH6^3)-BI6)/(a1_649+2*a2_649*CH6+3*a3_649*CH6^2)),0)</f>
        <v>1003.1862407558</v>
      </c>
      <c r="CJ6" s="34" t="n">
        <f aca="false">CI6</f>
        <v>1003.1862407558</v>
      </c>
      <c r="CL6" s="32" t="n">
        <f aca="false">IF(ISNUMBER(Grafica!$C$7),Grafica!$C$7,NA())</f>
        <v>1000</v>
      </c>
      <c r="CM6" s="31" t="n">
        <f aca="false">IF(ISNUMBER(Grafica!$D$7),Grafica!$D$7,NA())</f>
        <v>215.993195939608</v>
      </c>
      <c r="CN6" s="0" t="str">
        <f aca="false">IF(ISNUMBER(Grafica!$D$7),"P2: Q="&amp;TEXT(Grafica!$C$7,"0")&amp;" ; H="&amp;TEXT(Grafica!$D$7,"0.0"),"P2")</f>
        <v>P2: Q=1000 ; H=216.0</v>
      </c>
      <c r="CO6" s="31" t="n">
        <f aca="false">IF(ISNUMBER(Grafica!$D$13),Grafica!$D$13,NA())</f>
        <v>1003.1862407558</v>
      </c>
      <c r="CP6" s="32" t="n">
        <f aca="false">IF(ISNUMBER(Grafica!$D$13),Grafica!$C$13,NA())</f>
        <v>215</v>
      </c>
      <c r="CQ6" s="0" t="str">
        <f aca="false">IF(ISNUMBER(Grafica!$D$13),"G2: Q="&amp;TEXT(Grafica!$D$13,"0")&amp;" ; H="&amp;TEXT(Grafica!$C$13,"0.0"),"G2")</f>
        <v>G2: Q=1003 ; H=215.0</v>
      </c>
    </row>
    <row r="7" customFormat="false" ht="15" hidden="false" customHeight="false" outlineLevel="0" collapsed="false">
      <c r="A7" s="31" t="n">
        <f aca="false">Polinomios!$F$5+2*(Polinomios!$G$5-Polinomios!$F$5)/40</f>
        <v>42.5</v>
      </c>
      <c r="B7" s="31" t="n">
        <f aca="false">(Polinomios!$B$5+Polinomios!$C$5*A7+Polinomios!$D$5*A7^2+Polinomios!$E$5*A7^3)</f>
        <v>158.849881846044</v>
      </c>
      <c r="D7" s="31" t="n">
        <f aca="false">Polinomios!$F$6+2*(Polinomios!$G$6-Polinomios!$F$6)/40</f>
        <v>48.75</v>
      </c>
      <c r="E7" s="31" t="n">
        <f aca="false">(Polinomios!$B$6+Polinomios!$C$6*D7+Polinomios!$D$6*D7^2+Polinomios!$E$6*D7^3)</f>
        <v>218.797608839761</v>
      </c>
      <c r="G7" s="31" t="n">
        <f aca="false">Polinomios!$F$7+2*(Polinomios!$G$7-Polinomios!$F$7)/40</f>
        <v>55.2</v>
      </c>
      <c r="H7" s="31" t="n">
        <f aca="false">(Polinomios!$B$7+Polinomios!$C$7*G7+Polinomios!$D$7*G7^2+Polinomios!$E$7*G7^3)</f>
        <v>271.47895189449</v>
      </c>
      <c r="J7" s="31" t="n">
        <f aca="false">Polinomios!$F$8+2*(Polinomios!$G$8-Polinomios!$F$8)/40</f>
        <v>56.5</v>
      </c>
      <c r="K7" s="31" t="n">
        <f aca="false">(Polinomios!$B$8+Polinomios!$C$8*J7+Polinomios!$D$8*J7^2+Polinomios!$E$8*J7^3)</f>
        <v>319.021935046735</v>
      </c>
      <c r="M7" s="31" t="n">
        <f aca="false">(Polinomios!$C$12+Polinomios!$D$12*N7+Polinomios!$E$12*N7^2+Polinomios!$F$12*N7^3)</f>
        <v>301.689150791249</v>
      </c>
      <c r="N7" s="31" t="n">
        <f aca="false">Polinomios!$G$12+2*(Polinomios!$H$12-Polinomios!$G$12)/20</f>
        <v>164.749</v>
      </c>
      <c r="P7" s="31" t="n">
        <f aca="false">(Polinomios!$C$13+Polinomios!$D$13*Q7+Polinomios!$E$13*Q7^2+Polinomios!$F$13*Q7^3)</f>
        <v>371.944868047867</v>
      </c>
      <c r="Q7" s="31" t="n">
        <f aca="false">Polinomios!$G$13+2*(Polinomios!$H$13-Polinomios!$G$13)/20</f>
        <v>161.912</v>
      </c>
      <c r="S7" s="31" t="n">
        <f aca="false">(Polinomios!$C$14+Polinomios!$D$14*T7+Polinomios!$E$14*T7^2+Polinomios!$F$14*T7^3)</f>
        <v>434.899770629072</v>
      </c>
      <c r="T7" s="31" t="n">
        <f aca="false">Polinomios!$G$14+2*(Polinomios!$H$14-Polinomios!$G$14)/20</f>
        <v>158.528</v>
      </c>
      <c r="V7" s="31" t="n">
        <f aca="false">(Polinomios!$C$15+Polinomios!$D$15*W7+Polinomios!$E$15*W7^2+Polinomios!$F$15*W7^3)</f>
        <v>502.587861600956</v>
      </c>
      <c r="W7" s="31" t="n">
        <f aca="false">Polinomios!$G$15+2*(Polinomios!$H$15-Polinomios!$G$15)/20</f>
        <v>153.448</v>
      </c>
      <c r="Y7" s="31" t="n">
        <f aca="false">(Polinomios!$C$16+Polinomios!$D$16*Z7+Polinomios!$E$16*Z7^2+Polinomios!$F$16*Z7^3)</f>
        <v>562.709864274643</v>
      </c>
      <c r="Z7" s="31" t="n">
        <f aca="false">Polinomios!$G$16+2*(Polinomios!$H$16-Polinomios!$G$16)/20</f>
        <v>147.686</v>
      </c>
      <c r="AB7" s="31" t="n">
        <f aca="false">(Polinomios!$C$17+Polinomios!$D$17*AC7+Polinomios!$E$17*AC7^2+Polinomios!$F$17*AC7^3)</f>
        <v>618.319079569802</v>
      </c>
      <c r="AC7" s="31" t="n">
        <f aca="false">Polinomios!$G$17+2*(Polinomios!$H$17-Polinomios!$G$17)/20</f>
        <v>140.96</v>
      </c>
      <c r="AE7" s="31" t="n">
        <f aca="false">(Polinomios!$C$18+Polinomios!$D$18*AF7+Polinomios!$E$18*AF7^2+Polinomios!$F$18*AF7^3)</f>
        <v>722.903573394184</v>
      </c>
      <c r="AF7" s="31" t="n">
        <f aca="false">Polinomios!$G$18+2*(Polinomios!$H$18-Polinomios!$G$18)/20</f>
        <v>178.231</v>
      </c>
      <c r="AH7" s="31" t="n">
        <f aca="false">(Polinomios!$C$19+Polinomios!$D$19*AI7+Polinomios!$E$19*AI7^2+Polinomios!$F$19*AI7^3)</f>
        <v>760.674841197482</v>
      </c>
      <c r="AI7" s="31" t="n">
        <f aca="false">Polinomios!$G$19+2*(Polinomios!$H$19-Polinomios!$G$19)/20</f>
        <v>175.706</v>
      </c>
      <c r="AK7" s="31" t="n">
        <f aca="false">(Polinomios!$C$20+Polinomios!$D$20*AL7+Polinomios!$E$20*AL7^2+Polinomios!$F$20*AL7^3)</f>
        <v>702.899504130584</v>
      </c>
      <c r="AL7" s="31" t="n">
        <f aca="false">Polinomios!$G$20+2*(Polinomios!$H$20-Polinomios!$G$20)/20</f>
        <v>132.369</v>
      </c>
      <c r="AN7" s="31" t="n">
        <f aca="false">(Polinomios!$C$21+Polinomios!$D$21*AO7+Polinomios!$E$21*AO7^2+Polinomios!$F$21*AO7^3)</f>
        <v>741.138280257651</v>
      </c>
      <c r="AO7" s="31" t="n">
        <f aca="false">Polinomios!$G$21+2*(Polinomios!$H$21-Polinomios!$G$21)/20</f>
        <v>123.779</v>
      </c>
      <c r="AQ7" s="31" t="n">
        <f aca="false">(Polinomios!$C$22+Polinomios!$D$22*AR7+Polinomios!$E$22*AR7^2+Polinomios!$F$22*AR7^3)</f>
        <v>782.082143434221</v>
      </c>
      <c r="AR7" s="31" t="n">
        <f aca="false">Polinomios!$G$22+2*(Polinomios!$H$22-Polinomios!$G$22)/20</f>
        <v>115.553</v>
      </c>
      <c r="AT7" s="31" t="n">
        <f aca="false">(Polinomios!$C$23+Polinomios!$D$23*AU7+Polinomios!$E$23*AU7^2+Polinomios!$F$23*AU7^3)</f>
        <v>827.09666746859</v>
      </c>
      <c r="AU7" s="31" t="n">
        <f aca="false">Polinomios!$G$23+2*(Polinomios!$H$23-Polinomios!$G$23)/20</f>
        <v>105.583</v>
      </c>
      <c r="AW7" s="31" t="n">
        <f aca="false">(Polinomios!$C$24+Polinomios!$D$24*AX7+Polinomios!$E$24*AX7^2+Polinomios!$F$24*AX7^3)</f>
        <v>876.05895651232</v>
      </c>
      <c r="AX7" s="31" t="n">
        <f aca="false">Polinomios!$G$24+2*(Polinomios!$H$24-Polinomios!$G$24)/20</f>
        <v>91.862</v>
      </c>
      <c r="AZ7" s="32" t="n">
        <f aca="false">Grafica!$C$18</f>
        <v>820</v>
      </c>
      <c r="BA7" s="0" t="n">
        <v>0</v>
      </c>
      <c r="BC7" s="32" t="n">
        <f aca="false">Grafica!$C$19</f>
        <v>1040</v>
      </c>
      <c r="BD7" s="0" t="n">
        <v>0</v>
      </c>
      <c r="BF7" s="32" t="n">
        <f aca="false">Grafica!$C$20</f>
        <v>970</v>
      </c>
      <c r="BG7" s="0" t="n">
        <v>0</v>
      </c>
      <c r="BI7" s="32" t="n">
        <f aca="false">Grafica!$C$14</f>
        <v>190</v>
      </c>
      <c r="BJ7" s="32" t="n">
        <f aca="false">Qmax_649</f>
        <v>1130</v>
      </c>
      <c r="BK7" s="33" t="n">
        <f aca="false">IF(ISNUMBER(BI7),MAX(0,BJ7-((a0_649+a1_649*BJ7+a2_649*BJ7^2+a3_649*BJ7^3)-BI7)/(a1_649+2*a2_649*BJ7+3*a3_649*BJ7^2)),0)</f>
        <v>1079.58242791424</v>
      </c>
      <c r="BL7" s="33" t="n">
        <f aca="false">IF(ISNUMBER(BI7),MAX(0,BK7-((a0_649+a1_649*BK7+a2_649*BK7^2+a3_649*BK7^3)-BI7)/(a1_649+2*a2_649*BK7+3*a3_649*BK7^2)),0)</f>
        <v>1076.83305052076</v>
      </c>
      <c r="BM7" s="33" t="n">
        <f aca="false">IF(ISNUMBER(BI7),MAX(0,BL7-((a0_649+a1_649*BL7+a2_649*BL7^2+a3_649*BL7^3)-BI7)/(a1_649+2*a2_649*BL7+3*a3_649*BL7^2)),0)</f>
        <v>1076.82513636605</v>
      </c>
      <c r="BN7" s="33" t="n">
        <f aca="false">IF(ISNUMBER(BI7),MAX(0,BM7-((a0_649+a1_649*BM7+a2_649*BM7^2+a3_649*BM7^3)-BI7)/(a1_649+2*a2_649*BM7+3*a3_649*BM7^2)),0)</f>
        <v>1076.82513630061</v>
      </c>
      <c r="BO7" s="33" t="n">
        <f aca="false">IF(ISNUMBER(BI7),MAX(0,BN7-((a0_649+a1_649*BN7+a2_649*BN7^2+a3_649*BN7^3)-BI7)/(a1_649+2*a2_649*BN7+3*a3_649*BN7^2)),0)</f>
        <v>1076.82513630061</v>
      </c>
      <c r="BP7" s="33" t="n">
        <f aca="false">IF(ISNUMBER(BI7),MAX(0,BO7-((a0_649+a1_649*BO7+a2_649*BO7^2+a3_649*BO7^3)-BI7)/(a1_649+2*a2_649*BO7+3*a3_649*BO7^2)),0)</f>
        <v>1076.82513630061</v>
      </c>
      <c r="BQ7" s="33" t="n">
        <f aca="false">IF(ISNUMBER(BI7),MAX(0,BP7-((a0_649+a1_649*BP7+a2_649*BP7^2+a3_649*BP7^3)-BI7)/(a1_649+2*a2_649*BP7+3*a3_649*BP7^2)),0)</f>
        <v>1076.82513630061</v>
      </c>
      <c r="BR7" s="33" t="n">
        <f aca="false">IF(ISNUMBER(BI7),MAX(0,BQ7-((a0_649+a1_649*BQ7+a2_649*BQ7^2+a3_649*BQ7^3)-BI7)/(a1_649+2*a2_649*BQ7+3*a3_649*BQ7^2)),0)</f>
        <v>1076.82513630061</v>
      </c>
      <c r="BS7" s="33" t="n">
        <f aca="false">IF(ISNUMBER(BI7),MAX(0,BR7-((a0_649+a1_649*BR7+a2_649*BR7^2+a3_649*BR7^3)-BI7)/(a1_649+2*a2_649*BR7+3*a3_649*BR7^2)),0)</f>
        <v>1076.82513630061</v>
      </c>
      <c r="BT7" s="33" t="n">
        <f aca="false">IF(ISNUMBER(BI7),MAX(0,BS7-((a0_649+a1_649*BS7+a2_649*BS7^2+a3_649*BS7^3)-BI7)/(a1_649+2*a2_649*BS7+3*a3_649*BS7^2)),0)</f>
        <v>1076.82513630061</v>
      </c>
      <c r="BU7" s="33" t="n">
        <f aca="false">IF(ISNUMBER(BI7),MAX(0,BT7-((a0_649+a1_649*BT7+a2_649*BT7^2+a3_649*BT7^3)-BI7)/(a1_649+2*a2_649*BT7+3*a3_649*BT7^2)),0)</f>
        <v>1076.82513630061</v>
      </c>
      <c r="BV7" s="33" t="n">
        <f aca="false">IF(ISNUMBER(BI7),MAX(0,BU7-((a0_649+a1_649*BU7+a2_649*BU7^2+a3_649*BU7^3)-BI7)/(a1_649+2*a2_649*BU7+3*a3_649*BU7^2)),0)</f>
        <v>1076.82513630061</v>
      </c>
      <c r="BW7" s="33" t="n">
        <f aca="false">IF(ISNUMBER(BI7),MAX(0,BV7-((a0_649+a1_649*BV7+a2_649*BV7^2+a3_649*BV7^3)-BI7)/(a1_649+2*a2_649*BV7+3*a3_649*BV7^2)),0)</f>
        <v>1076.82513630061</v>
      </c>
      <c r="BX7" s="33" t="n">
        <f aca="false">IF(ISNUMBER(BI7),MAX(0,BW7-((a0_649+a1_649*BW7+a2_649*BW7^2+a3_649*BW7^3)-BI7)/(a1_649+2*a2_649*BW7+3*a3_649*BW7^2)),0)</f>
        <v>1076.82513630061</v>
      </c>
      <c r="BY7" s="33" t="n">
        <f aca="false">IF(ISNUMBER(BI7),MAX(0,BX7-((a0_649+a1_649*BX7+a2_649*BX7^2+a3_649*BX7^3)-BI7)/(a1_649+2*a2_649*BX7+3*a3_649*BX7^2)),0)</f>
        <v>1076.82513630061</v>
      </c>
      <c r="BZ7" s="33" t="n">
        <f aca="false">IF(ISNUMBER(BI7),MAX(0,BY7-((a0_649+a1_649*BY7+a2_649*BY7^2+a3_649*BY7^3)-BI7)/(a1_649+2*a2_649*BY7+3*a3_649*BY7^2)),0)</f>
        <v>1076.82513630061</v>
      </c>
      <c r="CA7" s="33" t="n">
        <f aca="false">IF(ISNUMBER(BI7),MAX(0,BZ7-((a0_649+a1_649*BZ7+a2_649*BZ7^2+a3_649*BZ7^3)-BI7)/(a1_649+2*a2_649*BZ7+3*a3_649*BZ7^2)),0)</f>
        <v>1076.82513630061</v>
      </c>
      <c r="CB7" s="33" t="n">
        <f aca="false">IF(ISNUMBER(BI7),MAX(0,CA7-((a0_649+a1_649*CA7+a2_649*CA7^2+a3_649*CA7^3)-BI7)/(a1_649+2*a2_649*CA7+3*a3_649*CA7^2)),0)</f>
        <v>1076.82513630061</v>
      </c>
      <c r="CC7" s="33" t="n">
        <f aca="false">IF(ISNUMBER(BI7),MAX(0,CB7-((a0_649+a1_649*CB7+a2_649*CB7^2+a3_649*CB7^3)-BI7)/(a1_649+2*a2_649*CB7+3*a3_649*CB7^2)),0)</f>
        <v>1076.82513630061</v>
      </c>
      <c r="CD7" s="33" t="n">
        <f aca="false">IF(ISNUMBER(BI7),MAX(0,CC7-((a0_649+a1_649*CC7+a2_649*CC7^2+a3_649*CC7^3)-BI7)/(a1_649+2*a2_649*CC7+3*a3_649*CC7^2)),0)</f>
        <v>1076.82513630061</v>
      </c>
      <c r="CE7" s="33" t="n">
        <f aca="false">IF(ISNUMBER(BI7),MAX(0,CD7-((a0_649+a1_649*CD7+a2_649*CD7^2+a3_649*CD7^3)-BI7)/(a1_649+2*a2_649*CD7+3*a3_649*CD7^2)),0)</f>
        <v>1076.82513630061</v>
      </c>
      <c r="CF7" s="33" t="n">
        <f aca="false">IF(ISNUMBER(BI7),MAX(0,CE7-((a0_649+a1_649*CE7+a2_649*CE7^2+a3_649*CE7^3)-BI7)/(a1_649+2*a2_649*CE7+3*a3_649*CE7^2)),0)</f>
        <v>1076.82513630061</v>
      </c>
      <c r="CG7" s="33" t="n">
        <f aca="false">IF(ISNUMBER(BI7),MAX(0,CF7-((a0_649+a1_649*CF7+a2_649*CF7^2+a3_649*CF7^3)-BI7)/(a1_649+2*a2_649*CF7+3*a3_649*CF7^2)),0)</f>
        <v>1076.82513630061</v>
      </c>
      <c r="CH7" s="33" t="n">
        <f aca="false">IF(ISNUMBER(BI7),MAX(0,CG7-((a0_649+a1_649*CG7+a2_649*CG7^2+a3_649*CG7^3)-BI7)/(a1_649+2*a2_649*CG7+3*a3_649*CG7^2)),0)</f>
        <v>1076.82513630061</v>
      </c>
      <c r="CI7" s="33" t="n">
        <f aca="false">IF(ISNUMBER(BI7),MAX(0,CH7-((a0_649+a1_649*CH7+a2_649*CH7^2+a3_649*CH7^3)-BI7)/(a1_649+2*a2_649*CH7+3*a3_649*CH7^2)),0)</f>
        <v>1076.82513630061</v>
      </c>
      <c r="CJ7" s="34" t="n">
        <f aca="false">CI7</f>
        <v>1076.82513630061</v>
      </c>
      <c r="CL7" s="32" t="n">
        <f aca="false">IF(ISNUMBER(Grafica!$C$8),Grafica!$C$8,NA())</f>
        <v>1100</v>
      </c>
      <c r="CM7" s="31" t="n">
        <f aca="false">IF(ISNUMBER(Grafica!$D$8),Grafica!$D$8,NA())</f>
        <v>181.288468838786</v>
      </c>
      <c r="CN7" s="0" t="str">
        <f aca="false">IF(ISNUMBER(Grafica!$D$8),"P3: Q="&amp;TEXT(Grafica!$C$8,"0")&amp;" ; H="&amp;TEXT(Grafica!$D$8,"0.0"),"P3")</f>
        <v>P3: Q=1100 ; H=181.3</v>
      </c>
      <c r="CO7" s="31" t="n">
        <f aca="false">IF(ISNUMBER(Grafica!$D$14),Grafica!$D$14,NA())</f>
        <v>1076.82513630061</v>
      </c>
      <c r="CP7" s="32" t="n">
        <f aca="false">IF(ISNUMBER(Grafica!$D$14),Grafica!$C$14,NA())</f>
        <v>190</v>
      </c>
      <c r="CQ7" s="0" t="str">
        <f aca="false">IF(ISNUMBER(Grafica!$D$14),"G3: Q="&amp;TEXT(Grafica!$D$14,"0")&amp;" ; H="&amp;TEXT(Grafica!$C$14,"0.0"),"G3")</f>
        <v>G3: Q=1077 ; H=190.0</v>
      </c>
    </row>
    <row r="8" customFormat="false" ht="15" hidden="false" customHeight="false" outlineLevel="0" collapsed="false">
      <c r="A8" s="31" t="n">
        <f aca="false">Polinomios!$F$5+3*(Polinomios!$G$5-Polinomios!$F$5)/40</f>
        <v>63.75</v>
      </c>
      <c r="B8" s="31" t="n">
        <f aca="false">(Polinomios!$B$5+Polinomios!$C$5*A8+Polinomios!$D$5*A8^2+Polinomios!$E$5*A8^3)</f>
        <v>158.530014659803</v>
      </c>
      <c r="D8" s="31" t="n">
        <f aca="false">Polinomios!$F$6+3*(Polinomios!$G$6-Polinomios!$F$6)/40</f>
        <v>73.125</v>
      </c>
      <c r="E8" s="31" t="n">
        <f aca="false">(Polinomios!$B$6+Polinomios!$C$6*D8+Polinomios!$D$6*D8^2+Polinomios!$E$6*D8^3)</f>
        <v>218.293162629858</v>
      </c>
      <c r="G8" s="31" t="n">
        <f aca="false">Polinomios!$F$7+3*(Polinomios!$G$7-Polinomios!$F$7)/40</f>
        <v>82.8</v>
      </c>
      <c r="H8" s="31" t="n">
        <f aca="false">(Polinomios!$B$7+Polinomios!$C$7*G8+Polinomios!$D$7*G8^2+Polinomios!$E$7*G8^3)</f>
        <v>270.639756077562</v>
      </c>
      <c r="J8" s="31" t="n">
        <f aca="false">Polinomios!$F$8+3*(Polinomios!$G$8-Polinomios!$F$8)/40</f>
        <v>84.75</v>
      </c>
      <c r="K8" s="31" t="n">
        <f aca="false">(Polinomios!$B$8+Polinomios!$C$8*J8+Polinomios!$D$8*J8^2+Polinomios!$E$8*J8^3)</f>
        <v>318.030940373465</v>
      </c>
      <c r="M8" s="31" t="n">
        <f aca="false">(Polinomios!$C$12+Polinomios!$D$12*N8+Polinomios!$E$12*N8^2+Polinomios!$F$12*N8^3)</f>
        <v>303.761203187104</v>
      </c>
      <c r="N8" s="31" t="n">
        <f aca="false">Polinomios!$G$12+3*(Polinomios!$H$12-Polinomios!$G$12)/20</f>
        <v>170.2085</v>
      </c>
      <c r="P8" s="31" t="n">
        <f aca="false">(Polinomios!$C$13+Polinomios!$D$13*Q8+Polinomios!$E$13*Q8^2+Polinomios!$F$13*Q8^3)</f>
        <v>373.291649450871</v>
      </c>
      <c r="Q8" s="31" t="n">
        <f aca="false">Polinomios!$G$13+3*(Polinomios!$H$13-Polinomios!$G$13)/20</f>
        <v>167.383</v>
      </c>
      <c r="S8" s="31" t="n">
        <f aca="false">(Polinomios!$C$14+Polinomios!$D$14*T8+Polinomios!$E$14*T8^2+Polinomios!$F$14*T8^3)</f>
        <v>437.549918920574</v>
      </c>
      <c r="T8" s="31" t="n">
        <f aca="false">Polinomios!$G$14+3*(Polinomios!$H$14-Polinomios!$G$14)/20</f>
        <v>163.962</v>
      </c>
      <c r="V8" s="31" t="n">
        <f aca="false">(Polinomios!$C$15+Polinomios!$D$15*W8+Polinomios!$E$15*W8^2+Polinomios!$F$15*W8^3)</f>
        <v>505.511472441421</v>
      </c>
      <c r="W8" s="31" t="n">
        <f aca="false">Polinomios!$G$15+3*(Polinomios!$H$15-Polinomios!$G$15)/20</f>
        <v>158.812</v>
      </c>
      <c r="Y8" s="31" t="n">
        <f aca="false">(Polinomios!$C$16+Polinomios!$D$16*Z8+Polinomios!$E$16*Z8^2+Polinomios!$F$16*Z8^3)</f>
        <v>565.826358185348</v>
      </c>
      <c r="Z8" s="31" t="n">
        <f aca="false">Polinomios!$G$16+3*(Polinomios!$H$16-Polinomios!$G$16)/20</f>
        <v>153.004</v>
      </c>
      <c r="AB8" s="31" t="n">
        <f aca="false">(Polinomios!$C$17+Polinomios!$D$17*AC8+Polinomios!$E$17*AC8^2+Polinomios!$F$17*AC8^3)</f>
        <v>620.08792404133</v>
      </c>
      <c r="AC8" s="31" t="n">
        <f aca="false">Polinomios!$G$17+3*(Polinomios!$H$17-Polinomios!$G$17)/20</f>
        <v>146.36</v>
      </c>
      <c r="AE8" s="31" t="n">
        <f aca="false">(Polinomios!$C$18+Polinomios!$D$18*AF8+Polinomios!$E$18*AF8^2+Polinomios!$F$18*AF8^3)</f>
        <v>718.022583213823</v>
      </c>
      <c r="AF8" s="31" t="n">
        <f aca="false">Polinomios!$G$18+3*(Polinomios!$H$18-Polinomios!$G$18)/20</f>
        <v>181.3465</v>
      </c>
      <c r="AH8" s="31" t="n">
        <f aca="false">(Polinomios!$C$19+Polinomios!$D$19*AI8+Polinomios!$E$19*AI8^2+Polinomios!$F$19*AI8^3)</f>
        <v>771.703394329383</v>
      </c>
      <c r="AI8" s="31" t="n">
        <f aca="false">Polinomios!$G$19+3*(Polinomios!$H$19-Polinomios!$G$19)/20</f>
        <v>177.559</v>
      </c>
      <c r="AK8" s="31" t="n">
        <f aca="false">(Polinomios!$C$20+Polinomios!$D$20*AL8+Polinomios!$E$20*AL8^2+Polinomios!$F$20*AL8^3)</f>
        <v>723.995242080402</v>
      </c>
      <c r="AL8" s="31" t="n">
        <f aca="false">Polinomios!$G$20+3*(Polinomios!$H$20-Polinomios!$G$20)/20</f>
        <v>136.1335</v>
      </c>
      <c r="AN8" s="31" t="n">
        <f aca="false">(Polinomios!$C$21+Polinomios!$D$21*AO8+Polinomios!$E$21*AO8^2+Polinomios!$F$21*AO8^3)</f>
        <v>756.601780914088</v>
      </c>
      <c r="AO8" s="31" t="n">
        <f aca="false">Polinomios!$G$21+3*(Polinomios!$H$21-Polinomios!$G$21)/20</f>
        <v>127.6085</v>
      </c>
      <c r="AQ8" s="31" t="n">
        <f aca="false">(Polinomios!$C$22+Polinomios!$D$22*AR8+Polinomios!$E$22*AR8^2+Polinomios!$F$22*AR8^3)</f>
        <v>797.620291070898</v>
      </c>
      <c r="AR8" s="31" t="n">
        <f aca="false">Polinomios!$G$22+3*(Polinomios!$H$22-Polinomios!$G$22)/20</f>
        <v>119.0795</v>
      </c>
      <c r="AT8" s="31" t="n">
        <f aca="false">(Polinomios!$C$23+Polinomios!$D$23*AU8+Polinomios!$E$23*AU8^2+Polinomios!$F$23*AU8^3)</f>
        <v>843.177273583354</v>
      </c>
      <c r="AU8" s="31" t="n">
        <f aca="false">Polinomios!$G$23+3*(Polinomios!$H$23-Polinomios!$G$23)/20</f>
        <v>108.6145</v>
      </c>
      <c r="AW8" s="31" t="n">
        <f aca="false">(Polinomios!$C$24+Polinomios!$D$24*AX8+Polinomios!$E$24*AX8^2+Polinomios!$F$24*AX8^3)</f>
        <v>888.898252012826</v>
      </c>
      <c r="AX8" s="31" t="n">
        <f aca="false">Polinomios!$G$24+3*(Polinomios!$H$24-Polinomios!$G$24)/20</f>
        <v>94.898</v>
      </c>
      <c r="AZ8" s="0" t="str">
        <f aca="false">Grafica!$B$18&amp;" ("&amp;TEXT(Grafica!$C$18,"0")&amp;" ; "&amp;TEXT(Grafica!$D$18,"0")&amp;")"</f>
        <v>BEP Ø635 (η 81 %) (820 ; 220)</v>
      </c>
      <c r="BC8" s="0" t="str">
        <f aca="false">Grafica!$B$19&amp;" ("&amp;TEXT(Grafica!$C$19,"0")&amp;" ; "&amp;TEXT(Grafica!$D$19,"0")&amp;")"</f>
        <v>Bomba 3 (1040 ; 203)</v>
      </c>
      <c r="BF8" s="0" t="str">
        <f aca="false">Grafica!$B$20&amp;" ("&amp;TEXT(Grafica!$C$20,"0")&amp;" ; "&amp;TEXT(Grafica!$D$20,"0")&amp;")"</f>
        <v>Bomba 4 (970 ; 225)</v>
      </c>
    </row>
    <row r="9" customFormat="false" ht="15" hidden="false" customHeight="false" outlineLevel="0" collapsed="false">
      <c r="A9" s="31" t="n">
        <f aca="false">Polinomios!$F$5+4*(Polinomios!$G$5-Polinomios!$F$5)/40</f>
        <v>85</v>
      </c>
      <c r="B9" s="31" t="n">
        <f aca="false">(Polinomios!$B$5+Polinomios!$C$5*A9+Polinomios!$D$5*A9^2+Polinomios!$E$5*A9^3)</f>
        <v>158.218938788773</v>
      </c>
      <c r="D9" s="31" t="n">
        <f aca="false">Polinomios!$F$6+4*(Polinomios!$G$6-Polinomios!$F$6)/40</f>
        <v>97.5</v>
      </c>
      <c r="E9" s="31" t="n">
        <f aca="false">(Polinomios!$B$6+Polinomios!$C$6*D9+Polinomios!$D$6*D9^2+Polinomios!$E$6*D9^3)</f>
        <v>217.828103266708</v>
      </c>
      <c r="G9" s="31" t="n">
        <f aca="false">Polinomios!$F$7+4*(Polinomios!$G$7-Polinomios!$F$7)/40</f>
        <v>110.4</v>
      </c>
      <c r="H9" s="31" t="n">
        <f aca="false">(Polinomios!$B$7+Polinomios!$C$7*G9+Polinomios!$D$7*G9^2+Polinomios!$E$7*G9^3)</f>
        <v>269.864461320021</v>
      </c>
      <c r="J9" s="31" t="n">
        <f aca="false">Polinomios!$F$8+4*(Polinomios!$G$8-Polinomios!$F$8)/40</f>
        <v>113</v>
      </c>
      <c r="K9" s="31" t="n">
        <f aca="false">(Polinomios!$B$8+Polinomios!$C$8*J9+Polinomios!$D$8*J9^2+Polinomios!$E$8*J9^3)</f>
        <v>317.115611270775</v>
      </c>
      <c r="M9" s="31" t="n">
        <f aca="false">(Polinomios!$C$12+Polinomios!$D$12*N9+Polinomios!$E$12*N9^2+Polinomios!$F$12*N9^3)</f>
        <v>305.971168021767</v>
      </c>
      <c r="N9" s="31" t="n">
        <f aca="false">Polinomios!$G$12+4*(Polinomios!$H$12-Polinomios!$G$12)/20</f>
        <v>175.668</v>
      </c>
      <c r="P9" s="31" t="n">
        <f aca="false">(Polinomios!$C$13+Polinomios!$D$13*Q9+Polinomios!$E$13*Q9^2+Polinomios!$F$13*Q9^3)</f>
        <v>374.82552949455</v>
      </c>
      <c r="Q9" s="31" t="n">
        <f aca="false">Polinomios!$G$13+4*(Polinomios!$H$13-Polinomios!$G$13)/20</f>
        <v>172.854</v>
      </c>
      <c r="S9" s="31" t="n">
        <f aca="false">(Polinomios!$C$14+Polinomios!$D$14*T9+Polinomios!$E$14*T9^2+Polinomios!$F$14*T9^3)</f>
        <v>440.316362259114</v>
      </c>
      <c r="T9" s="31" t="n">
        <f aca="false">Polinomios!$G$14+4*(Polinomios!$H$14-Polinomios!$G$14)/20</f>
        <v>169.396</v>
      </c>
      <c r="V9" s="31" t="n">
        <f aca="false">(Polinomios!$C$15+Polinomios!$D$15*W9+Polinomios!$E$15*W9^2+Polinomios!$F$15*W9^3)</f>
        <v>508.642039279253</v>
      </c>
      <c r="W9" s="31" t="n">
        <f aca="false">Polinomios!$G$15+4*(Polinomios!$H$15-Polinomios!$G$15)/20</f>
        <v>164.176</v>
      </c>
      <c r="Y9" s="31" t="n">
        <f aca="false">(Polinomios!$C$16+Polinomios!$D$16*Z9+Polinomios!$E$16*Z9^2+Polinomios!$F$16*Z9^3)</f>
        <v>569.179263497336</v>
      </c>
      <c r="Z9" s="31" t="n">
        <f aca="false">Polinomios!$G$16+4*(Polinomios!$H$16-Polinomios!$G$16)/20</f>
        <v>158.322</v>
      </c>
      <c r="AB9" s="31" t="n">
        <f aca="false">(Polinomios!$C$17+Polinomios!$D$17*AC9+Polinomios!$E$17*AC9^2+Polinomios!$F$17*AC9^3)</f>
        <v>622.181609999681</v>
      </c>
      <c r="AC9" s="31" t="n">
        <f aca="false">Polinomios!$G$17+4*(Polinomios!$H$17-Polinomios!$G$17)/20</f>
        <v>151.76</v>
      </c>
      <c r="AE9" s="31" t="n">
        <f aca="false">(Polinomios!$C$18+Polinomios!$D$18*AF9+Polinomios!$E$18*AF9^2+Polinomios!$F$18*AF9^3)</f>
        <v>714.420397627512</v>
      </c>
      <c r="AF9" s="31" t="n">
        <f aca="false">Polinomios!$G$18+4*(Polinomios!$H$18-Polinomios!$G$18)/20</f>
        <v>184.462</v>
      </c>
      <c r="AH9" s="31" t="n">
        <f aca="false">(Polinomios!$C$19+Polinomios!$D$19*AI9+Polinomios!$E$19*AI9^2+Polinomios!$F$19*AI9^3)</f>
        <v>782.192793982014</v>
      </c>
      <c r="AI9" s="31" t="n">
        <f aca="false">Polinomios!$G$19+4*(Polinomios!$H$19-Polinomios!$G$19)/20</f>
        <v>179.412</v>
      </c>
      <c r="AK9" s="31" t="n">
        <f aca="false">(Polinomios!$C$20+Polinomios!$D$20*AL9+Polinomios!$E$20*AL9^2+Polinomios!$F$20*AL9^3)</f>
        <v>743.114904067912</v>
      </c>
      <c r="AL9" s="31" t="n">
        <f aca="false">Polinomios!$G$20+4*(Polinomios!$H$20-Polinomios!$G$20)/20</f>
        <v>139.898</v>
      </c>
      <c r="AN9" s="31" t="n">
        <f aca="false">(Polinomios!$C$21+Polinomios!$D$21*AO9+Polinomios!$E$21*AO9^2+Polinomios!$F$21*AO9^3)</f>
        <v>771.50828634655</v>
      </c>
      <c r="AO9" s="31" t="n">
        <f aca="false">Polinomios!$G$21+4*(Polinomios!$H$21-Polinomios!$G$21)/20</f>
        <v>131.438</v>
      </c>
      <c r="AQ9" s="31" t="n">
        <f aca="false">(Polinomios!$C$22+Polinomios!$D$22*AR9+Polinomios!$E$22*AR9^2+Polinomios!$F$22*AR9^3)</f>
        <v>812.731199915783</v>
      </c>
      <c r="AR9" s="31" t="n">
        <f aca="false">Polinomios!$G$22+4*(Polinomios!$H$22-Polinomios!$G$22)/20</f>
        <v>122.606</v>
      </c>
      <c r="AT9" s="31" t="n">
        <f aca="false">(Polinomios!$C$23+Polinomios!$D$23*AU9+Polinomios!$E$23*AU9^2+Polinomios!$F$23*AU9^3)</f>
        <v>858.621358864639</v>
      </c>
      <c r="AU9" s="31" t="n">
        <f aca="false">Polinomios!$G$23+4*(Polinomios!$H$23-Polinomios!$G$23)/20</f>
        <v>111.646</v>
      </c>
      <c r="AW9" s="31" t="n">
        <f aca="false">(Polinomios!$C$24+Polinomios!$D$24*AX9+Polinomios!$E$24*AX9^2+Polinomios!$F$24*AX9^3)</f>
        <v>901.804786787702</v>
      </c>
      <c r="AX9" s="31" t="n">
        <f aca="false">Polinomios!$G$24+4*(Polinomios!$H$24-Polinomios!$G$24)/20</f>
        <v>97.934</v>
      </c>
    </row>
    <row r="10" customFormat="false" ht="15" hidden="false" customHeight="false" outlineLevel="0" collapsed="false">
      <c r="A10" s="31" t="n">
        <f aca="false">Polinomios!$F$5+5*(Polinomios!$G$5-Polinomios!$F$5)/40</f>
        <v>106.25</v>
      </c>
      <c r="B10" s="31" t="n">
        <f aca="false">(Polinomios!$B$5+Polinomios!$C$5*A10+Polinomios!$D$5*A10^2+Polinomios!$E$5*A10^3)</f>
        <v>157.908721156828</v>
      </c>
      <c r="D10" s="31" t="n">
        <f aca="false">Polinomios!$F$6+5*(Polinomios!$G$6-Polinomios!$F$6)/40</f>
        <v>121.875</v>
      </c>
      <c r="E10" s="31" t="n">
        <f aca="false">(Polinomios!$B$6+Polinomios!$C$6*D10+Polinomios!$D$6*D10^2+Polinomios!$E$6*D10^3)</f>
        <v>217.389891144869</v>
      </c>
      <c r="G10" s="31" t="n">
        <f aca="false">Polinomios!$F$7+5*(Polinomios!$G$7-Polinomios!$F$7)/40</f>
        <v>138</v>
      </c>
      <c r="H10" s="31" t="n">
        <f aca="false">(Polinomios!$B$7+Polinomios!$C$7*G10+Polinomios!$D$7*G10^2+Polinomios!$E$7*G10^3)</f>
        <v>269.13671183435</v>
      </c>
      <c r="J10" s="31" t="n">
        <f aca="false">Polinomios!$F$8+5*(Polinomios!$G$8-Polinomios!$F$8)/40</f>
        <v>141.25</v>
      </c>
      <c r="K10" s="31" t="n">
        <f aca="false">(Polinomios!$B$8+Polinomios!$C$8*J10+Polinomios!$D$8*J10^2+Polinomios!$E$8*J10^3)</f>
        <v>316.256367971325</v>
      </c>
      <c r="M10" s="31" t="n">
        <f aca="false">(Polinomios!$C$12+Polinomios!$D$12*N10+Polinomios!$E$12*N10^2+Polinomios!$F$12*N10^3)</f>
        <v>308.319045295237</v>
      </c>
      <c r="N10" s="31" t="n">
        <f aca="false">Polinomios!$G$12+5*(Polinomios!$H$12-Polinomios!$G$12)/20</f>
        <v>181.1275</v>
      </c>
      <c r="P10" s="31" t="n">
        <f aca="false">(Polinomios!$C$13+Polinomios!$D$13*Q10+Polinomios!$E$13*Q10^2+Polinomios!$F$13*Q10^3)</f>
        <v>376.546508178903</v>
      </c>
      <c r="Q10" s="31" t="n">
        <f aca="false">Polinomios!$G$13+5*(Polinomios!$H$13-Polinomios!$G$13)/20</f>
        <v>178.325</v>
      </c>
      <c r="S10" s="31" t="n">
        <f aca="false">(Polinomios!$C$14+Polinomios!$D$14*T10+Polinomios!$E$14*T10^2+Polinomios!$F$14*T10^3)</f>
        <v>443.199100644694</v>
      </c>
      <c r="T10" s="31" t="n">
        <f aca="false">Polinomios!$G$14+5*(Polinomios!$H$14-Polinomios!$G$14)/20</f>
        <v>174.83</v>
      </c>
      <c r="V10" s="31" t="n">
        <f aca="false">(Polinomios!$C$15+Polinomios!$D$15*W10+Polinomios!$E$15*W10^2+Polinomios!$F$15*W10^3)</f>
        <v>511.979562114452</v>
      </c>
      <c r="W10" s="31" t="n">
        <f aca="false">Polinomios!$G$15+5*(Polinomios!$H$15-Polinomios!$G$15)/20</f>
        <v>169.54</v>
      </c>
      <c r="Y10" s="31" t="n">
        <f aca="false">(Polinomios!$C$16+Polinomios!$D$16*Z10+Polinomios!$E$16*Z10^2+Polinomios!$F$16*Z10^3)</f>
        <v>572.768580210608</v>
      </c>
      <c r="Z10" s="31" t="n">
        <f aca="false">Polinomios!$G$16+5*(Polinomios!$H$16-Polinomios!$G$16)/20</f>
        <v>163.64</v>
      </c>
      <c r="AB10" s="31" t="n">
        <f aca="false">(Polinomios!$C$17+Polinomios!$D$17*AC10+Polinomios!$E$17*AC10^2+Polinomios!$F$17*AC10^3)</f>
        <v>624.600137444854</v>
      </c>
      <c r="AC10" s="31" t="n">
        <f aca="false">Polinomios!$G$17+5*(Polinomios!$H$17-Polinomios!$G$17)/20</f>
        <v>157.16</v>
      </c>
      <c r="AE10" s="31" t="n">
        <f aca="false">(Polinomios!$C$18+Polinomios!$D$18*AF10+Polinomios!$E$18*AF10^2+Polinomios!$F$18*AF10^3)</f>
        <v>711.97259743925</v>
      </c>
      <c r="AF10" s="31" t="n">
        <f aca="false">Polinomios!$G$18+5*(Polinomios!$H$18-Polinomios!$G$18)/20</f>
        <v>187.5775</v>
      </c>
      <c r="AH10" s="31" t="n">
        <f aca="false">(Polinomios!$C$19+Polinomios!$D$19*AI10+Polinomios!$E$19*AI10^2+Polinomios!$F$19*AI10^3)</f>
        <v>792.143040155378</v>
      </c>
      <c r="AI10" s="31" t="n">
        <f aca="false">Polinomios!$G$19+5*(Polinomios!$H$19-Polinomios!$G$19)/20</f>
        <v>181.265</v>
      </c>
      <c r="AK10" s="31" t="n">
        <f aca="false">(Polinomios!$C$20+Polinomios!$D$20*AL10+Polinomios!$E$20*AL10^2+Polinomios!$F$20*AL10^3)</f>
        <v>760.426664854608</v>
      </c>
      <c r="AL10" s="31" t="n">
        <f aca="false">Polinomios!$G$20+5*(Polinomios!$H$20-Polinomios!$G$20)/20</f>
        <v>143.6625</v>
      </c>
      <c r="AN10" s="31" t="n">
        <f aca="false">(Polinomios!$C$21+Polinomios!$D$21*AO10+Polinomios!$E$21*AO10^2+Polinomios!$F$21*AO10^3)</f>
        <v>785.875296107787</v>
      </c>
      <c r="AO10" s="31" t="n">
        <f aca="false">Polinomios!$G$21+5*(Polinomios!$H$21-Polinomios!$G$21)/20</f>
        <v>135.2675</v>
      </c>
      <c r="AQ10" s="31" t="n">
        <f aca="false">(Polinomios!$C$22+Polinomios!$D$22*AR10+Polinomios!$E$22*AR10^2+Polinomios!$F$22*AR10^3)</f>
        <v>827.419816256201</v>
      </c>
      <c r="AR10" s="31" t="n">
        <f aca="false">Polinomios!$G$22+5*(Polinomios!$H$22-Polinomios!$G$22)/20</f>
        <v>126.1325</v>
      </c>
      <c r="AT10" s="31" t="n">
        <f aca="false">(Polinomios!$C$23+Polinomios!$D$23*AU10+Polinomios!$E$23*AU10^2+Polinomios!$F$23*AU10^3)</f>
        <v>873.483071925672</v>
      </c>
      <c r="AU10" s="31" t="n">
        <f aca="false">Polinomios!$G$23+5*(Polinomios!$H$23-Polinomios!$G$23)/20</f>
        <v>114.6775</v>
      </c>
      <c r="AW10" s="31" t="n">
        <f aca="false">(Polinomios!$C$24+Polinomios!$D$24*AX10+Polinomios!$E$24*AX10^2+Polinomios!$F$24*AX10^3)</f>
        <v>914.762165920002</v>
      </c>
      <c r="AX10" s="31" t="n">
        <f aca="false">Polinomios!$G$24+5*(Polinomios!$H$24-Polinomios!$G$24)/20</f>
        <v>100.97</v>
      </c>
    </row>
    <row r="11" customFormat="false" ht="15" hidden="false" customHeight="false" outlineLevel="0" collapsed="false">
      <c r="A11" s="31" t="n">
        <f aca="false">Polinomios!$F$5+6*(Polinomios!$G$5-Polinomios!$F$5)/40</f>
        <v>127.5</v>
      </c>
      <c r="B11" s="31" t="n">
        <f aca="false">(Polinomios!$B$5+Polinomios!$C$5*A11+Polinomios!$D$5*A11^2+Polinomios!$E$5*A11^3)</f>
        <v>157.591428687845</v>
      </c>
      <c r="D11" s="31" t="n">
        <f aca="false">Polinomios!$F$6+6*(Polinomios!$G$6-Polinomios!$F$6)/40</f>
        <v>146.25</v>
      </c>
      <c r="E11" s="31" t="n">
        <f aca="false">(Polinomios!$B$6+Polinomios!$C$6*D11+Polinomios!$D$6*D11^2+Polinomios!$E$6*D11^3)</f>
        <v>216.965986658898</v>
      </c>
      <c r="G11" s="31" t="n">
        <f aca="false">Polinomios!$F$7+6*(Polinomios!$G$7-Polinomios!$F$7)/40</f>
        <v>165.6</v>
      </c>
      <c r="H11" s="31" t="n">
        <f aca="false">(Polinomios!$B$7+Polinomios!$C$7*G11+Polinomios!$D$7*G11^2+Polinomios!$E$7*G11^3)</f>
        <v>268.440151833031</v>
      </c>
      <c r="J11" s="31" t="n">
        <f aca="false">Polinomios!$F$8+6*(Polinomios!$G$8-Polinomios!$F$8)/40</f>
        <v>169.5</v>
      </c>
      <c r="K11" s="31" t="n">
        <f aca="false">(Polinomios!$B$8+Polinomios!$C$8*J11+Polinomios!$D$8*J11^2+Polinomios!$E$8*J11^3)</f>
        <v>315.433630707776</v>
      </c>
      <c r="M11" s="31" t="n">
        <f aca="false">(Polinomios!$C$12+Polinomios!$D$12*N11+Polinomios!$E$12*N11^2+Polinomios!$F$12*N11^3)</f>
        <v>310.804835007514</v>
      </c>
      <c r="N11" s="31" t="n">
        <f aca="false">Polinomios!$G$12+6*(Polinomios!$H$12-Polinomios!$G$12)/20</f>
        <v>186.587</v>
      </c>
      <c r="P11" s="31" t="n">
        <f aca="false">(Polinomios!$C$13+Polinomios!$D$13*Q11+Polinomios!$E$13*Q11^2+Polinomios!$F$13*Q11^3)</f>
        <v>378.454585503931</v>
      </c>
      <c r="Q11" s="31" t="n">
        <f aca="false">Polinomios!$G$13+6*(Polinomios!$H$13-Polinomios!$G$13)/20</f>
        <v>183.796</v>
      </c>
      <c r="S11" s="31" t="n">
        <f aca="false">(Polinomios!$C$14+Polinomios!$D$14*T11+Polinomios!$E$14*T11^2+Polinomios!$F$14*T11^3)</f>
        <v>446.198134077313</v>
      </c>
      <c r="T11" s="31" t="n">
        <f aca="false">Polinomios!$G$14+6*(Polinomios!$H$14-Polinomios!$G$14)/20</f>
        <v>180.264</v>
      </c>
      <c r="V11" s="31" t="n">
        <f aca="false">(Polinomios!$C$15+Polinomios!$D$15*W11+Polinomios!$E$15*W11^2+Polinomios!$F$15*W11^3)</f>
        <v>515.524040947017</v>
      </c>
      <c r="W11" s="31" t="n">
        <f aca="false">Polinomios!$G$15+6*(Polinomios!$H$15-Polinomios!$G$15)/20</f>
        <v>174.904</v>
      </c>
      <c r="Y11" s="31" t="n">
        <f aca="false">(Polinomios!$C$16+Polinomios!$D$16*Z11+Polinomios!$E$16*Z11^2+Polinomios!$F$16*Z11^3)</f>
        <v>576.594308325162</v>
      </c>
      <c r="Z11" s="31" t="n">
        <f aca="false">Polinomios!$G$16+6*(Polinomios!$H$16-Polinomios!$G$16)/20</f>
        <v>168.958</v>
      </c>
      <c r="AB11" s="31" t="n">
        <f aca="false">(Polinomios!$C$17+Polinomios!$D$17*AC11+Polinomios!$E$17*AC11^2+Polinomios!$F$17*AC11^3)</f>
        <v>627.343506376848</v>
      </c>
      <c r="AC11" s="31" t="n">
        <f aca="false">Polinomios!$G$17+6*(Polinomios!$H$17-Polinomios!$G$17)/20</f>
        <v>162.56</v>
      </c>
      <c r="AE11" s="31" t="n">
        <f aca="false">(Polinomios!$C$18+Polinomios!$D$18*AF11+Polinomios!$E$18*AF11^2+Polinomios!$F$18*AF11^3)</f>
        <v>710.554763453027</v>
      </c>
      <c r="AF11" s="31" t="n">
        <f aca="false">Polinomios!$G$18+6*(Polinomios!$H$18-Polinomios!$G$18)/20</f>
        <v>190.693</v>
      </c>
      <c r="AH11" s="31" t="n">
        <f aca="false">(Polinomios!$C$19+Polinomios!$D$19*AI11+Polinomios!$E$19*AI11^2+Polinomios!$F$19*AI11^3)</f>
        <v>801.554132849471</v>
      </c>
      <c r="AI11" s="31" t="n">
        <f aca="false">Polinomios!$G$19+6*(Polinomios!$H$19-Polinomios!$G$19)/20</f>
        <v>183.118</v>
      </c>
      <c r="AK11" s="31" t="n">
        <f aca="false">(Polinomios!$C$20+Polinomios!$D$20*AL11+Polinomios!$E$20*AL11^2+Polinomios!$F$20*AL11^3)</f>
        <v>776.098699201986</v>
      </c>
      <c r="AL11" s="31" t="n">
        <f aca="false">Polinomios!$G$20+6*(Polinomios!$H$20-Polinomios!$G$20)/20</f>
        <v>147.427</v>
      </c>
      <c r="AN11" s="31" t="n">
        <f aca="false">(Polinomios!$C$21+Polinomios!$D$21*AO11+Polinomios!$E$21*AO11^2+Polinomios!$F$21*AO11^3)</f>
        <v>799.720309750552</v>
      </c>
      <c r="AO11" s="31" t="n">
        <f aca="false">Polinomios!$G$21+6*(Polinomios!$H$21-Polinomios!$G$21)/20</f>
        <v>139.097</v>
      </c>
      <c r="AQ11" s="31" t="n">
        <f aca="false">(Polinomios!$C$22+Polinomios!$D$22*AR11+Polinomios!$E$22*AR11^2+Polinomios!$F$22*AR11^3)</f>
        <v>841.691086379479</v>
      </c>
      <c r="AR11" s="31" t="n">
        <f aca="false">Polinomios!$G$22+6*(Polinomios!$H$22-Polinomios!$G$22)/20</f>
        <v>129.659</v>
      </c>
      <c r="AT11" s="31" t="n">
        <f aca="false">(Polinomios!$C$23+Polinomios!$D$23*AU11+Polinomios!$E$23*AU11^2+Polinomios!$F$23*AU11^3)</f>
        <v>887.816561379684</v>
      </c>
      <c r="AU11" s="31" t="n">
        <f aca="false">Polinomios!$G$23+6*(Polinomios!$H$23-Polinomios!$G$23)/20</f>
        <v>117.709</v>
      </c>
      <c r="AW11" s="31" t="n">
        <f aca="false">(Polinomios!$C$24+Polinomios!$D$24*AX11+Polinomios!$E$24*AX11^2+Polinomios!$F$24*AX11^3)</f>
        <v>927.753994492783</v>
      </c>
      <c r="AX11" s="31" t="n">
        <f aca="false">Polinomios!$G$24+6*(Polinomios!$H$24-Polinomios!$G$24)/20</f>
        <v>104.006</v>
      </c>
    </row>
    <row r="12" customFormat="false" ht="15" hidden="false" customHeight="false" outlineLevel="0" collapsed="false">
      <c r="A12" s="31" t="n">
        <f aca="false">Polinomios!$F$5+7*(Polinomios!$G$5-Polinomios!$F$5)/40</f>
        <v>148.75</v>
      </c>
      <c r="B12" s="31" t="n">
        <f aca="false">(Polinomios!$B$5+Polinomios!$C$5*A12+Polinomios!$D$5*A12^2+Polinomios!$E$5*A12^3)</f>
        <v>157.259128305701</v>
      </c>
      <c r="D12" s="31" t="n">
        <f aca="false">Polinomios!$F$6+7*(Polinomios!$G$6-Polinomios!$F$6)/40</f>
        <v>170.625</v>
      </c>
      <c r="E12" s="31" t="n">
        <f aca="false">(Polinomios!$B$6+Polinomios!$C$6*D12+Polinomios!$D$6*D12^2+Polinomios!$E$6*D12^3)</f>
        <v>216.543850203354</v>
      </c>
      <c r="G12" s="31" t="n">
        <f aca="false">Polinomios!$F$7+7*(Polinomios!$G$7-Polinomios!$F$7)/40</f>
        <v>193.2</v>
      </c>
      <c r="H12" s="31" t="n">
        <f aca="false">(Polinomios!$B$7+Polinomios!$C$7*G12+Polinomios!$D$7*G12^2+Polinomios!$E$7*G12^3)</f>
        <v>267.758425528548</v>
      </c>
      <c r="J12" s="31" t="n">
        <f aca="false">Polinomios!$F$8+7*(Polinomios!$G$8-Polinomios!$F$8)/40</f>
        <v>197.75</v>
      </c>
      <c r="K12" s="31" t="n">
        <f aca="false">(Polinomios!$B$8+Polinomios!$C$8*J12+Polinomios!$D$8*J12^2+Polinomios!$E$8*J12^3)</f>
        <v>314.62781971279</v>
      </c>
      <c r="M12" s="31" t="n">
        <f aca="false">(Polinomios!$C$12+Polinomios!$D$12*N12+Polinomios!$E$12*N12^2+Polinomios!$F$12*N12^3)</f>
        <v>313.428537158598</v>
      </c>
      <c r="N12" s="31" t="n">
        <f aca="false">Polinomios!$G$12+7*(Polinomios!$H$12-Polinomios!$G$12)/20</f>
        <v>192.0465</v>
      </c>
      <c r="P12" s="31" t="n">
        <f aca="false">(Polinomios!$C$13+Polinomios!$D$13*Q12+Polinomios!$E$13*Q12^2+Polinomios!$F$13*Q12^3)</f>
        <v>380.549761469633</v>
      </c>
      <c r="Q12" s="31" t="n">
        <f aca="false">Polinomios!$G$13+7*(Polinomios!$H$13-Polinomios!$G$13)/20</f>
        <v>189.267</v>
      </c>
      <c r="S12" s="31" t="n">
        <f aca="false">(Polinomios!$C$14+Polinomios!$D$14*T12+Polinomios!$E$14*T12^2+Polinomios!$F$14*T12^3)</f>
        <v>449.313462556971</v>
      </c>
      <c r="T12" s="31" t="n">
        <f aca="false">Polinomios!$G$14+7*(Polinomios!$H$14-Polinomios!$G$14)/20</f>
        <v>185.698</v>
      </c>
      <c r="V12" s="31" t="n">
        <f aca="false">(Polinomios!$C$15+Polinomios!$D$15*W12+Polinomios!$E$15*W12^2+Polinomios!$F$15*W12^3)</f>
        <v>519.275475776949</v>
      </c>
      <c r="W12" s="31" t="n">
        <f aca="false">Polinomios!$G$15+7*(Polinomios!$H$15-Polinomios!$G$15)/20</f>
        <v>180.268</v>
      </c>
      <c r="Y12" s="31" t="n">
        <f aca="false">(Polinomios!$C$16+Polinomios!$D$16*Z12+Polinomios!$E$16*Z12^2+Polinomios!$F$16*Z12^3)</f>
        <v>580.656447841</v>
      </c>
      <c r="Z12" s="31" t="n">
        <f aca="false">Polinomios!$G$16+7*(Polinomios!$H$16-Polinomios!$G$16)/20</f>
        <v>174.276</v>
      </c>
      <c r="AB12" s="31" t="n">
        <f aca="false">(Polinomios!$C$17+Polinomios!$D$17*AC12+Polinomios!$E$17*AC12^2+Polinomios!$F$17*AC12^3)</f>
        <v>630.411716795665</v>
      </c>
      <c r="AC12" s="31" t="n">
        <f aca="false">Polinomios!$G$17+7*(Polinomios!$H$17-Polinomios!$G$17)/20</f>
        <v>167.96</v>
      </c>
      <c r="AE12" s="31" t="n">
        <f aca="false">(Polinomios!$C$18+Polinomios!$D$18*AF12+Polinomios!$E$18*AF12^2+Polinomios!$F$18*AF12^3)</f>
        <v>710.04247647285</v>
      </c>
      <c r="AF12" s="31" t="n">
        <f aca="false">Polinomios!$G$18+7*(Polinomios!$H$18-Polinomios!$G$18)/20</f>
        <v>193.8085</v>
      </c>
      <c r="AH12" s="31" t="n">
        <f aca="false">(Polinomios!$C$19+Polinomios!$D$19*AI12+Polinomios!$E$19*AI12^2+Polinomios!$F$19*AI12^3)</f>
        <v>810.426072064298</v>
      </c>
      <c r="AI12" s="31" t="n">
        <f aca="false">Polinomios!$G$19+7*(Polinomios!$H$19-Polinomios!$G$19)/20</f>
        <v>184.971</v>
      </c>
      <c r="AK12" s="31" t="n">
        <f aca="false">(Polinomios!$C$20+Polinomios!$D$20*AL12+Polinomios!$E$20*AL12^2+Polinomios!$F$20*AL12^3)</f>
        <v>790.299181871531</v>
      </c>
      <c r="AL12" s="31" t="n">
        <f aca="false">Polinomios!$G$20+7*(Polinomios!$H$20-Polinomios!$G$20)/20</f>
        <v>151.1915</v>
      </c>
      <c r="AN12" s="31" t="n">
        <f aca="false">(Polinomios!$C$21+Polinomios!$D$21*AO12+Polinomios!$E$21*AO12^2+Polinomios!$F$21*AO12^3)</f>
        <v>813.060826827598</v>
      </c>
      <c r="AO12" s="31" t="n">
        <f aca="false">Polinomios!$G$21+7*(Polinomios!$H$21-Polinomios!$G$21)/20</f>
        <v>142.9265</v>
      </c>
      <c r="AQ12" s="31" t="n">
        <f aca="false">(Polinomios!$C$22+Polinomios!$D$22*AR12+Polinomios!$E$22*AR12^2+Polinomios!$F$22*AR12^3)</f>
        <v>855.549956572942</v>
      </c>
      <c r="AR12" s="31" t="n">
        <f aca="false">Polinomios!$G$22+7*(Polinomios!$H$22-Polinomios!$G$22)/20</f>
        <v>133.1855</v>
      </c>
      <c r="AT12" s="31" t="n">
        <f aca="false">(Polinomios!$C$23+Polinomios!$D$23*AU12+Polinomios!$E$23*AU12^2+Polinomios!$F$23*AU12^3)</f>
        <v>901.6759758399</v>
      </c>
      <c r="AU12" s="31" t="n">
        <f aca="false">Polinomios!$G$23+7*(Polinomios!$H$23-Polinomios!$G$23)/20</f>
        <v>120.7405</v>
      </c>
      <c r="AW12" s="31" t="n">
        <f aca="false">(Polinomios!$C$24+Polinomios!$D$24*AX12+Polinomios!$E$24*AX12^2+Polinomios!$F$24*AX12^3)</f>
        <v>940.763877589098</v>
      </c>
      <c r="AX12" s="31" t="n">
        <f aca="false">Polinomios!$G$24+7*(Polinomios!$H$24-Polinomios!$G$24)/20</f>
        <v>107.042</v>
      </c>
    </row>
    <row r="13" customFormat="false" ht="15" hidden="false" customHeight="false" outlineLevel="0" collapsed="false">
      <c r="A13" s="31" t="n">
        <f aca="false">Polinomios!$F$5+8*(Polinomios!$G$5-Polinomios!$F$5)/40</f>
        <v>170</v>
      </c>
      <c r="B13" s="31" t="n">
        <f aca="false">(Polinomios!$B$5+Polinomios!$C$5*A13+Polinomios!$D$5*A13^2+Polinomios!$E$5*A13^3)</f>
        <v>156.903886934271</v>
      </c>
      <c r="D13" s="31" t="n">
        <f aca="false">Polinomios!$F$6+8*(Polinomios!$G$6-Polinomios!$F$6)/40</f>
        <v>195</v>
      </c>
      <c r="E13" s="31" t="n">
        <f aca="false">(Polinomios!$B$6+Polinomios!$C$6*D13+Polinomios!$D$6*D13^2+Polinomios!$E$6*D13^3)</f>
        <v>216.110942172794</v>
      </c>
      <c r="G13" s="31" t="n">
        <f aca="false">Polinomios!$F$7+8*(Polinomios!$G$7-Polinomios!$F$7)/40</f>
        <v>220.8</v>
      </c>
      <c r="H13" s="31" t="n">
        <f aca="false">(Polinomios!$B$7+Polinomios!$C$7*G13+Polinomios!$D$7*G13^2+Polinomios!$E$7*G13^3)</f>
        <v>267.075177133383</v>
      </c>
      <c r="J13" s="31" t="n">
        <f aca="false">Polinomios!$F$8+8*(Polinomios!$G$8-Polinomios!$F$8)/40</f>
        <v>226</v>
      </c>
      <c r="K13" s="31" t="n">
        <f aca="false">(Polinomios!$B$8+Polinomios!$C$8*J13+Polinomios!$D$8*J13^2+Polinomios!$E$8*J13^3)</f>
        <v>313.819355219028</v>
      </c>
      <c r="M13" s="31" t="n">
        <f aca="false">(Polinomios!$C$12+Polinomios!$D$12*N13+Polinomios!$E$12*N13^2+Polinomios!$F$12*N13^3)</f>
        <v>316.190151748489</v>
      </c>
      <c r="N13" s="31" t="n">
        <f aca="false">Polinomios!$G$12+8*(Polinomios!$H$12-Polinomios!$G$12)/20</f>
        <v>197.506</v>
      </c>
      <c r="P13" s="31" t="n">
        <f aca="false">(Polinomios!$C$13+Polinomios!$D$13*Q13+Polinomios!$E$13*Q13^2+Polinomios!$F$13*Q13^3)</f>
        <v>382.83203607601</v>
      </c>
      <c r="Q13" s="31" t="n">
        <f aca="false">Polinomios!$G$13+8*(Polinomios!$H$13-Polinomios!$G$13)/20</f>
        <v>194.738</v>
      </c>
      <c r="S13" s="31" t="n">
        <f aca="false">(Polinomios!$C$14+Polinomios!$D$14*T13+Polinomios!$E$14*T13^2+Polinomios!$F$14*T13^3)</f>
        <v>452.545086083668</v>
      </c>
      <c r="T13" s="31" t="n">
        <f aca="false">Polinomios!$G$14+8*(Polinomios!$H$14-Polinomios!$G$14)/20</f>
        <v>191.132</v>
      </c>
      <c r="V13" s="31" t="n">
        <f aca="false">(Polinomios!$C$15+Polinomios!$D$15*W13+Polinomios!$E$15*W13^2+Polinomios!$F$15*W13^3)</f>
        <v>523.233866604247</v>
      </c>
      <c r="W13" s="31" t="n">
        <f aca="false">Polinomios!$G$15+8*(Polinomios!$H$15-Polinomios!$G$15)/20</f>
        <v>185.632</v>
      </c>
      <c r="Y13" s="31" t="n">
        <f aca="false">(Polinomios!$C$16+Polinomios!$D$16*Z13+Polinomios!$E$16*Z13^2+Polinomios!$F$16*Z13^3)</f>
        <v>584.954998758121</v>
      </c>
      <c r="Z13" s="31" t="n">
        <f aca="false">Polinomios!$G$16+8*(Polinomios!$H$16-Polinomios!$G$16)/20</f>
        <v>179.594</v>
      </c>
      <c r="AB13" s="31" t="n">
        <f aca="false">(Polinomios!$C$17+Polinomios!$D$17*AC13+Polinomios!$E$17*AC13^2+Polinomios!$F$17*AC13^3)</f>
        <v>633.804768701303</v>
      </c>
      <c r="AC13" s="31" t="n">
        <f aca="false">Polinomios!$G$17+8*(Polinomios!$H$17-Polinomios!$G$17)/20</f>
        <v>173.36</v>
      </c>
      <c r="AE13" s="31" t="n">
        <f aca="false">(Polinomios!$C$18+Polinomios!$D$18*AF13+Polinomios!$E$18*AF13^2+Polinomios!$F$18*AF13^3)</f>
        <v>710.311317302717</v>
      </c>
      <c r="AF13" s="31" t="n">
        <f aca="false">Polinomios!$G$18+8*(Polinomios!$H$18-Polinomios!$G$18)/20</f>
        <v>196.924</v>
      </c>
      <c r="AH13" s="31" t="n">
        <f aca="false">(Polinomios!$C$19+Polinomios!$D$19*AI13+Polinomios!$E$19*AI13^2+Polinomios!$F$19*AI13^3)</f>
        <v>818.758857799855</v>
      </c>
      <c r="AI13" s="31" t="n">
        <f aca="false">Polinomios!$G$19+8*(Polinomios!$H$19-Polinomios!$G$19)/20</f>
        <v>186.824</v>
      </c>
      <c r="AK13" s="31" t="n">
        <f aca="false">(Polinomios!$C$20+Polinomios!$D$20*AL13+Polinomios!$E$20*AL13^2+Polinomios!$F$20*AL13^3)</f>
        <v>803.196287624742</v>
      </c>
      <c r="AL13" s="31" t="n">
        <f aca="false">Polinomios!$G$20+8*(Polinomios!$H$20-Polinomios!$G$20)/20</f>
        <v>154.956</v>
      </c>
      <c r="AN13" s="31" t="n">
        <f aca="false">(Polinomios!$C$21+Polinomios!$D$21*AO13+Polinomios!$E$21*AO13^2+Polinomios!$F$21*AO13^3)</f>
        <v>825.914346891676</v>
      </c>
      <c r="AO13" s="31" t="n">
        <f aca="false">Polinomios!$G$21+8*(Polinomios!$H$21-Polinomios!$G$21)/20</f>
        <v>146.756</v>
      </c>
      <c r="AQ13" s="31" t="n">
        <f aca="false">(Polinomios!$C$22+Polinomios!$D$22*AR13+Polinomios!$E$22*AR13^2+Polinomios!$F$22*AR13^3)</f>
        <v>869.001373123915</v>
      </c>
      <c r="AR13" s="31" t="n">
        <f aca="false">Polinomios!$G$22+8*(Polinomios!$H$22-Polinomios!$G$22)/20</f>
        <v>136.712</v>
      </c>
      <c r="AT13" s="31" t="n">
        <f aca="false">(Polinomios!$C$23+Polinomios!$D$23*AU13+Polinomios!$E$23*AU13^2+Polinomios!$F$23*AU13^3)</f>
        <v>915.11546391955</v>
      </c>
      <c r="AU13" s="31" t="n">
        <f aca="false">Polinomios!$G$23+8*(Polinomios!$H$23-Polinomios!$G$23)/20</f>
        <v>123.772</v>
      </c>
      <c r="AW13" s="31" t="n">
        <f aca="false">(Polinomios!$C$24+Polinomios!$D$24*AX13+Polinomios!$E$24*AX13^2+Polinomios!$F$24*AX13^3)</f>
        <v>953.775420292004</v>
      </c>
      <c r="AX13" s="31" t="n">
        <f aca="false">Polinomios!$G$24+8*(Polinomios!$H$24-Polinomios!$G$24)/20</f>
        <v>110.078</v>
      </c>
    </row>
    <row r="14" customFormat="false" ht="15" hidden="false" customHeight="false" outlineLevel="0" collapsed="false">
      <c r="A14" s="31" t="n">
        <f aca="false">Polinomios!$F$5+9*(Polinomios!$G$5-Polinomios!$F$5)/40</f>
        <v>191.25</v>
      </c>
      <c r="B14" s="31" t="n">
        <f aca="false">(Polinomios!$B$5+Polinomios!$C$5*A14+Polinomios!$D$5*A14^2+Polinomios!$E$5*A14^3)</f>
        <v>156.517771497433</v>
      </c>
      <c r="D14" s="31" t="n">
        <f aca="false">Polinomios!$F$6+9*(Polinomios!$G$6-Polinomios!$F$6)/40</f>
        <v>219.375</v>
      </c>
      <c r="E14" s="31" t="n">
        <f aca="false">(Polinomios!$B$6+Polinomios!$C$6*D14+Polinomios!$D$6*D14^2+Polinomios!$E$6*D14^3)</f>
        <v>215.654722961776</v>
      </c>
      <c r="G14" s="31" t="n">
        <f aca="false">Polinomios!$F$7+9*(Polinomios!$G$7-Polinomios!$F$7)/40</f>
        <v>248.4</v>
      </c>
      <c r="H14" s="31" t="n">
        <f aca="false">(Polinomios!$B$7+Polinomios!$C$7*G14+Polinomios!$D$7*G14^2+Polinomios!$E$7*G14^3)</f>
        <v>266.374050860019</v>
      </c>
      <c r="J14" s="31" t="n">
        <f aca="false">Polinomios!$F$8+9*(Polinomios!$G$8-Polinomios!$F$8)/40</f>
        <v>254.25</v>
      </c>
      <c r="K14" s="31" t="n">
        <f aca="false">(Polinomios!$B$8+Polinomios!$C$8*J14+Polinomios!$D$8*J14^2+Polinomios!$E$8*J14^3)</f>
        <v>312.988657459151</v>
      </c>
      <c r="M14" s="31" t="n">
        <f aca="false">(Polinomios!$C$12+Polinomios!$D$12*N14+Polinomios!$E$12*N14^2+Polinomios!$F$12*N14^3)</f>
        <v>319.089678777187</v>
      </c>
      <c r="N14" s="31" t="n">
        <f aca="false">Polinomios!$G$12+9*(Polinomios!$H$12-Polinomios!$G$12)/20</f>
        <v>202.9655</v>
      </c>
      <c r="P14" s="31" t="n">
        <f aca="false">(Polinomios!$C$13+Polinomios!$D$13*Q14+Polinomios!$E$13*Q14^2+Polinomios!$F$13*Q14^3)</f>
        <v>385.301409323062</v>
      </c>
      <c r="Q14" s="31" t="n">
        <f aca="false">Polinomios!$G$13+9*(Polinomios!$H$13-Polinomios!$G$13)/20</f>
        <v>200.209</v>
      </c>
      <c r="S14" s="31" t="n">
        <f aca="false">(Polinomios!$C$14+Polinomios!$D$14*T14+Polinomios!$E$14*T14^2+Polinomios!$F$14*T14^3)</f>
        <v>455.893004657404</v>
      </c>
      <c r="T14" s="31" t="n">
        <f aca="false">Polinomios!$G$14+9*(Polinomios!$H$14-Polinomios!$G$14)/20</f>
        <v>196.566</v>
      </c>
      <c r="V14" s="31" t="n">
        <f aca="false">(Polinomios!$C$15+Polinomios!$D$15*W14+Polinomios!$E$15*W14^2+Polinomios!$F$15*W14^3)</f>
        <v>527.399213428913</v>
      </c>
      <c r="W14" s="31" t="n">
        <f aca="false">Polinomios!$G$15+9*(Polinomios!$H$15-Polinomios!$G$15)/20</f>
        <v>190.996</v>
      </c>
      <c r="Y14" s="31" t="n">
        <f aca="false">(Polinomios!$C$16+Polinomios!$D$16*Z14+Polinomios!$E$16*Z14^2+Polinomios!$F$16*Z14^3)</f>
        <v>589.489961076526</v>
      </c>
      <c r="Z14" s="31" t="n">
        <f aca="false">Polinomios!$G$16+9*(Polinomios!$H$16-Polinomios!$G$16)/20</f>
        <v>184.912</v>
      </c>
      <c r="AB14" s="31" t="n">
        <f aca="false">(Polinomios!$C$17+Polinomios!$D$17*AC14+Polinomios!$E$17*AC14^2+Polinomios!$F$17*AC14^3)</f>
        <v>637.522662093763</v>
      </c>
      <c r="AC14" s="31" t="n">
        <f aca="false">Polinomios!$G$17+9*(Polinomios!$H$17-Polinomios!$G$17)/20</f>
        <v>178.76</v>
      </c>
      <c r="AE14" s="31" t="n">
        <f aca="false">(Polinomios!$C$18+Polinomios!$D$18*AF14+Polinomios!$E$18*AF14^2+Polinomios!$F$18*AF14^3)</f>
        <v>711.23686674663</v>
      </c>
      <c r="AF14" s="31" t="n">
        <f aca="false">Polinomios!$G$18+9*(Polinomios!$H$18-Polinomios!$G$18)/20</f>
        <v>200.0395</v>
      </c>
      <c r="AH14" s="31" t="n">
        <f aca="false">(Polinomios!$C$19+Polinomios!$D$19*AI14+Polinomios!$E$19*AI14^2+Polinomios!$F$19*AI14^3)</f>
        <v>826.552490056143</v>
      </c>
      <c r="AI14" s="31" t="n">
        <f aca="false">Polinomios!$G$19+9*(Polinomios!$H$19-Polinomios!$G$19)/20</f>
        <v>188.677</v>
      </c>
      <c r="AK14" s="31" t="n">
        <f aca="false">(Polinomios!$C$20+Polinomios!$D$20*AL14+Polinomios!$E$20*AL14^2+Polinomios!$F$20*AL14^3)</f>
        <v>814.958191223106</v>
      </c>
      <c r="AL14" s="31" t="n">
        <f aca="false">Polinomios!$G$20+9*(Polinomios!$H$20-Polinomios!$G$20)/20</f>
        <v>158.7205</v>
      </c>
      <c r="AN14" s="31" t="n">
        <f aca="false">(Polinomios!$C$21+Polinomios!$D$21*AO14+Polinomios!$E$21*AO14^2+Polinomios!$F$21*AO14^3)</f>
        <v>838.298369495537</v>
      </c>
      <c r="AO14" s="31" t="n">
        <f aca="false">Polinomios!$G$21+9*(Polinomios!$H$21-Polinomios!$G$21)/20</f>
        <v>150.5855</v>
      </c>
      <c r="AQ14" s="31" t="n">
        <f aca="false">(Polinomios!$C$22+Polinomios!$D$22*AR14+Polinomios!$E$22*AR14^2+Polinomios!$F$22*AR14^3)</f>
        <v>882.050282319725</v>
      </c>
      <c r="AR14" s="31" t="n">
        <f aca="false">Polinomios!$G$22+9*(Polinomios!$H$22-Polinomios!$G$22)/20</f>
        <v>140.2385</v>
      </c>
      <c r="AT14" s="31" t="n">
        <f aca="false">(Polinomios!$C$23+Polinomios!$D$23*AU14+Polinomios!$E$23*AU14^2+Polinomios!$F$23*AU14^3)</f>
        <v>928.189174231862</v>
      </c>
      <c r="AU14" s="31" t="n">
        <f aca="false">Polinomios!$G$23+9*(Polinomios!$H$23-Polinomios!$G$23)/20</f>
        <v>126.8035</v>
      </c>
      <c r="AW14" s="31" t="n">
        <f aca="false">(Polinomios!$C$24+Polinomios!$D$24*AX14+Polinomios!$E$24*AX14^2+Polinomios!$F$24*AX14^3)</f>
        <v>966.772227684554</v>
      </c>
      <c r="AX14" s="31" t="n">
        <f aca="false">Polinomios!$G$24+9*(Polinomios!$H$24-Polinomios!$G$24)/20</f>
        <v>113.114</v>
      </c>
    </row>
    <row r="15" customFormat="false" ht="15" hidden="false" customHeight="false" outlineLevel="0" collapsed="false">
      <c r="A15" s="31" t="n">
        <f aca="false">Polinomios!$F$5+10*(Polinomios!$G$5-Polinomios!$F$5)/40</f>
        <v>212.5</v>
      </c>
      <c r="B15" s="31" t="n">
        <f aca="false">(Polinomios!$B$5+Polinomios!$C$5*A15+Polinomios!$D$5*A15^2+Polinomios!$E$5*A15^3)</f>
        <v>156.092848919063</v>
      </c>
      <c r="D15" s="31" t="n">
        <f aca="false">Polinomios!$F$6+10*(Polinomios!$G$6-Polinomios!$F$6)/40</f>
        <v>243.75</v>
      </c>
      <c r="E15" s="31" t="n">
        <f aca="false">(Polinomios!$B$6+Polinomios!$C$6*D15+Polinomios!$D$6*D15^2+Polinomios!$E$6*D15^3)</f>
        <v>215.162652964858</v>
      </c>
      <c r="G15" s="31" t="n">
        <f aca="false">Polinomios!$F$7+10*(Polinomios!$G$7-Polinomios!$F$7)/40</f>
        <v>276</v>
      </c>
      <c r="H15" s="31" t="n">
        <f aca="false">(Polinomios!$B$7+Polinomios!$C$7*G15+Polinomios!$D$7*G15^2+Polinomios!$E$7*G15^3)</f>
        <v>265.63869092094</v>
      </c>
      <c r="J15" s="31" t="n">
        <f aca="false">Polinomios!$F$8+10*(Polinomios!$G$8-Polinomios!$F$8)/40</f>
        <v>282.5</v>
      </c>
      <c r="K15" s="31" t="n">
        <f aca="false">(Polinomios!$B$8+Polinomios!$C$8*J15+Polinomios!$D$8*J15^2+Polinomios!$E$8*J15^3)</f>
        <v>312.11614666582</v>
      </c>
      <c r="M15" s="31" t="n">
        <f aca="false">(Polinomios!$C$12+Polinomios!$D$12*N15+Polinomios!$E$12*N15^2+Polinomios!$F$12*N15^3)</f>
        <v>322.127118244692</v>
      </c>
      <c r="N15" s="31" t="n">
        <f aca="false">Polinomios!$G$12+10*(Polinomios!$H$12-Polinomios!$G$12)/20</f>
        <v>208.425</v>
      </c>
      <c r="P15" s="31" t="n">
        <f aca="false">(Polinomios!$C$13+Polinomios!$D$13*Q15+Polinomios!$E$13*Q15^2+Polinomios!$F$13*Q15^3)</f>
        <v>387.957881210789</v>
      </c>
      <c r="Q15" s="31" t="n">
        <f aca="false">Polinomios!$G$13+10*(Polinomios!$H$13-Polinomios!$G$13)/20</f>
        <v>205.68</v>
      </c>
      <c r="S15" s="31" t="n">
        <f aca="false">(Polinomios!$C$14+Polinomios!$D$14*T15+Polinomios!$E$14*T15^2+Polinomios!$F$14*T15^3)</f>
        <v>459.357218278179</v>
      </c>
      <c r="T15" s="31" t="n">
        <f aca="false">Polinomios!$G$14+10*(Polinomios!$H$14-Polinomios!$G$14)/20</f>
        <v>202</v>
      </c>
      <c r="V15" s="31" t="n">
        <f aca="false">(Polinomios!$C$15+Polinomios!$D$15*W15+Polinomios!$E$15*W15^2+Polinomios!$F$15*W15^3)</f>
        <v>531.771516250945</v>
      </c>
      <c r="W15" s="31" t="n">
        <f aca="false">Polinomios!$G$15+10*(Polinomios!$H$15-Polinomios!$G$15)/20</f>
        <v>196.36</v>
      </c>
      <c r="Y15" s="31" t="n">
        <f aca="false">(Polinomios!$C$16+Polinomios!$D$16*Z15+Polinomios!$E$16*Z15^2+Polinomios!$F$16*Z15^3)</f>
        <v>594.261334796214</v>
      </c>
      <c r="Z15" s="31" t="n">
        <f aca="false">Polinomios!$G$16+10*(Polinomios!$H$16-Polinomios!$G$16)/20</f>
        <v>190.23</v>
      </c>
      <c r="AB15" s="31" t="n">
        <f aca="false">(Polinomios!$C$17+Polinomios!$D$17*AC15+Polinomios!$E$17*AC15^2+Polinomios!$F$17*AC15^3)</f>
        <v>641.565396973045</v>
      </c>
      <c r="AC15" s="31" t="n">
        <f aca="false">Polinomios!$G$17+10*(Polinomios!$H$17-Polinomios!$G$17)/20</f>
        <v>184.16</v>
      </c>
      <c r="AE15" s="31" t="n">
        <f aca="false">(Polinomios!$C$18+Polinomios!$D$18*AF15+Polinomios!$E$18*AF15^2+Polinomios!$F$18*AF15^3)</f>
        <v>712.694705608576</v>
      </c>
      <c r="AF15" s="31" t="n">
        <f aca="false">Polinomios!$G$18+10*(Polinomios!$H$18-Polinomios!$G$18)/20</f>
        <v>203.155</v>
      </c>
      <c r="AH15" s="31" t="n">
        <f aca="false">(Polinomios!$C$19+Polinomios!$D$19*AI15+Polinomios!$E$19*AI15^2+Polinomios!$F$19*AI15^3)</f>
        <v>833.806968833163</v>
      </c>
      <c r="AI15" s="31" t="n">
        <f aca="false">Polinomios!$G$19+10*(Polinomios!$H$19-Polinomios!$G$19)/20</f>
        <v>190.53</v>
      </c>
      <c r="AK15" s="31" t="n">
        <f aca="false">(Polinomios!$C$20+Polinomios!$D$20*AL15+Polinomios!$E$20*AL15^2+Polinomios!$F$20*AL15^3)</f>
        <v>825.753067428117</v>
      </c>
      <c r="AL15" s="31" t="n">
        <f aca="false">Polinomios!$G$20+10*(Polinomios!$H$20-Polinomios!$G$20)/20</f>
        <v>162.485</v>
      </c>
      <c r="AN15" s="31" t="n">
        <f aca="false">(Polinomios!$C$21+Polinomios!$D$21*AO15+Polinomios!$E$21*AO15^2+Polinomios!$F$21*AO15^3)</f>
        <v>850.230394191934</v>
      </c>
      <c r="AO15" s="31" t="n">
        <f aca="false">Polinomios!$G$21+10*(Polinomios!$H$21-Polinomios!$G$21)/20</f>
        <v>154.415</v>
      </c>
      <c r="AQ15" s="31" t="n">
        <f aca="false">(Polinomios!$C$22+Polinomios!$D$22*AR15+Polinomios!$E$22*AR15^2+Polinomios!$F$22*AR15^3)</f>
        <v>894.701630447696</v>
      </c>
      <c r="AR15" s="31" t="n">
        <f aca="false">Polinomios!$G$22+10*(Polinomios!$H$22-Polinomios!$G$22)/20</f>
        <v>143.765</v>
      </c>
      <c r="AT15" s="31" t="n">
        <f aca="false">(Polinomios!$C$23+Polinomios!$D$23*AU15+Polinomios!$E$23*AU15^2+Polinomios!$F$23*AU15^3)</f>
        <v>940.951255390064</v>
      </c>
      <c r="AU15" s="31" t="n">
        <f aca="false">Polinomios!$G$23+10*(Polinomios!$H$23-Polinomios!$G$23)/20</f>
        <v>129.835</v>
      </c>
      <c r="AW15" s="31" t="n">
        <f aca="false">(Polinomios!$C$24+Polinomios!$D$24*AX15+Polinomios!$E$24*AX15^2+Polinomios!$F$24*AX15^3)</f>
        <v>979.737904849806</v>
      </c>
      <c r="AX15" s="31" t="n">
        <f aca="false">Polinomios!$G$24+10*(Polinomios!$H$24-Polinomios!$G$24)/20</f>
        <v>116.15</v>
      </c>
    </row>
    <row r="16" customFormat="false" ht="15" hidden="false" customHeight="false" outlineLevel="0" collapsed="false">
      <c r="A16" s="31" t="n">
        <f aca="false">Polinomios!$F$5+11*(Polinomios!$G$5-Polinomios!$F$5)/40</f>
        <v>233.75</v>
      </c>
      <c r="B16" s="31" t="n">
        <f aca="false">(Polinomios!$B$5+Polinomios!$C$5*A16+Polinomios!$D$5*A16^2+Polinomios!$E$5*A16^3)</f>
        <v>155.621186123037</v>
      </c>
      <c r="D16" s="31" t="n">
        <f aca="false">Polinomios!$F$6+11*(Polinomios!$G$6-Polinomios!$F$6)/40</f>
        <v>268.125</v>
      </c>
      <c r="E16" s="31" t="n">
        <f aca="false">(Polinomios!$B$6+Polinomios!$C$6*D16+Polinomios!$D$6*D16^2+Polinomios!$E$6*D16^3)</f>
        <v>214.622192576598</v>
      </c>
      <c r="G16" s="31" t="n">
        <f aca="false">Polinomios!$F$7+11*(Polinomios!$G$7-Polinomios!$F$7)/40</f>
        <v>303.6</v>
      </c>
      <c r="H16" s="31" t="n">
        <f aca="false">(Polinomios!$B$7+Polinomios!$C$7*G16+Polinomios!$D$7*G16^2+Polinomios!$E$7*G16^3)</f>
        <v>264.852741528628</v>
      </c>
      <c r="J16" s="31" t="n">
        <f aca="false">Polinomios!$F$8+11*(Polinomios!$G$8-Polinomios!$F$8)/40</f>
        <v>310.75</v>
      </c>
      <c r="K16" s="31" t="n">
        <f aca="false">(Polinomios!$B$8+Polinomios!$C$8*J16+Polinomios!$D$8*J16^2+Polinomios!$E$8*J16^3)</f>
        <v>311.182243071698</v>
      </c>
      <c r="M16" s="31" t="n">
        <f aca="false">(Polinomios!$C$12+Polinomios!$D$12*N16+Polinomios!$E$12*N16^2+Polinomios!$F$12*N16^3)</f>
        <v>325.302470151005</v>
      </c>
      <c r="N16" s="31" t="n">
        <f aca="false">Polinomios!$G$12+11*(Polinomios!$H$12-Polinomios!$G$12)/20</f>
        <v>213.8845</v>
      </c>
      <c r="P16" s="31" t="n">
        <f aca="false">(Polinomios!$C$13+Polinomios!$D$13*Q16+Polinomios!$E$13*Q16^2+Polinomios!$F$13*Q16^3)</f>
        <v>390.80145173919</v>
      </c>
      <c r="Q16" s="31" t="n">
        <f aca="false">Polinomios!$G$13+11*(Polinomios!$H$13-Polinomios!$G$13)/20</f>
        <v>211.151</v>
      </c>
      <c r="S16" s="31" t="n">
        <f aca="false">(Polinomios!$C$14+Polinomios!$D$14*T16+Polinomios!$E$14*T16^2+Polinomios!$F$14*T16^3)</f>
        <v>462.937726945993</v>
      </c>
      <c r="T16" s="31" t="n">
        <f aca="false">Polinomios!$G$14+11*(Polinomios!$H$14-Polinomios!$G$14)/20</f>
        <v>207.434</v>
      </c>
      <c r="V16" s="31" t="n">
        <f aca="false">(Polinomios!$C$15+Polinomios!$D$15*W16+Polinomios!$E$15*W16^2+Polinomios!$F$15*W16^3)</f>
        <v>536.350775070344</v>
      </c>
      <c r="W16" s="31" t="n">
        <f aca="false">Polinomios!$G$15+11*(Polinomios!$H$15-Polinomios!$G$15)/20</f>
        <v>201.724</v>
      </c>
      <c r="Y16" s="31" t="n">
        <f aca="false">(Polinomios!$C$16+Polinomios!$D$16*Z16+Polinomios!$E$16*Z16^2+Polinomios!$F$16*Z16^3)</f>
        <v>599.269119917185</v>
      </c>
      <c r="Z16" s="31" t="n">
        <f aca="false">Polinomios!$G$16+11*(Polinomios!$H$16-Polinomios!$G$16)/20</f>
        <v>195.548</v>
      </c>
      <c r="AB16" s="31" t="n">
        <f aca="false">(Polinomios!$C$17+Polinomios!$D$17*AC16+Polinomios!$E$17*AC16^2+Polinomios!$F$17*AC16^3)</f>
        <v>645.932973339149</v>
      </c>
      <c r="AC16" s="31" t="n">
        <f aca="false">Polinomios!$G$17+11*(Polinomios!$H$17-Polinomios!$G$17)/20</f>
        <v>189.56</v>
      </c>
      <c r="AE16" s="31" t="n">
        <f aca="false">(Polinomios!$C$18+Polinomios!$D$18*AF16+Polinomios!$E$18*AF16^2+Polinomios!$F$18*AF16^3)</f>
        <v>714.56041469257</v>
      </c>
      <c r="AF16" s="31" t="n">
        <f aca="false">Polinomios!$G$18+11*(Polinomios!$H$18-Polinomios!$G$18)/20</f>
        <v>206.2705</v>
      </c>
      <c r="AH16" s="31" t="n">
        <f aca="false">(Polinomios!$C$19+Polinomios!$D$19*AI16+Polinomios!$E$19*AI16^2+Polinomios!$F$19*AI16^3)</f>
        <v>840.522294130914</v>
      </c>
      <c r="AI16" s="31" t="n">
        <f aca="false">Polinomios!$G$19+11*(Polinomios!$H$19-Polinomios!$G$19)/20</f>
        <v>192.383</v>
      </c>
      <c r="AK16" s="31" t="n">
        <f aca="false">(Polinomios!$C$20+Polinomios!$D$20*AL16+Polinomios!$E$20*AL16^2+Polinomios!$F$20*AL16^3)</f>
        <v>835.749091001268</v>
      </c>
      <c r="AL16" s="31" t="n">
        <f aca="false">Polinomios!$G$20+11*(Polinomios!$H$20-Polinomios!$G$20)/20</f>
        <v>166.2495</v>
      </c>
      <c r="AN16" s="31" t="n">
        <f aca="false">(Polinomios!$C$21+Polinomios!$D$21*AO16+Polinomios!$E$21*AO16^2+Polinomios!$F$21*AO16^3)</f>
        <v>861.727920533619</v>
      </c>
      <c r="AO16" s="31" t="n">
        <f aca="false">Polinomios!$G$21+11*(Polinomios!$H$21-Polinomios!$G$21)/20</f>
        <v>158.2445</v>
      </c>
      <c r="AQ16" s="31" t="n">
        <f aca="false">(Polinomios!$C$22+Polinomios!$D$22*AR16+Polinomios!$E$22*AR16^2+Polinomios!$F$22*AR16^3)</f>
        <v>906.960363795154</v>
      </c>
      <c r="AR16" s="31" t="n">
        <f aca="false">Polinomios!$G$22+11*(Polinomios!$H$22-Polinomios!$G$22)/20</f>
        <v>147.2915</v>
      </c>
      <c r="AT16" s="31" t="n">
        <f aca="false">(Polinomios!$C$23+Polinomios!$D$23*AU16+Polinomios!$E$23*AU16^2+Polinomios!$F$23*AU16^3)</f>
        <v>953.455856007384</v>
      </c>
      <c r="AU16" s="31" t="n">
        <f aca="false">Polinomios!$G$23+11*(Polinomios!$H$23-Polinomios!$G$23)/20</f>
        <v>132.8665</v>
      </c>
      <c r="AW16" s="31" t="n">
        <f aca="false">(Polinomios!$C$24+Polinomios!$D$24*AX16+Polinomios!$E$24*AX16^2+Polinomios!$F$24*AX16^3)</f>
        <v>992.656056870813</v>
      </c>
      <c r="AX16" s="31" t="n">
        <f aca="false">Polinomios!$G$24+11*(Polinomios!$H$24-Polinomios!$G$24)/20</f>
        <v>119.186</v>
      </c>
    </row>
    <row r="17" customFormat="false" ht="15" hidden="false" customHeight="false" outlineLevel="0" collapsed="false">
      <c r="A17" s="31" t="n">
        <f aca="false">Polinomios!$F$5+12*(Polinomios!$G$5-Polinomios!$F$5)/40</f>
        <v>255</v>
      </c>
      <c r="B17" s="31" t="n">
        <f aca="false">(Polinomios!$B$5+Polinomios!$C$5*A17+Polinomios!$D$5*A17^2+Polinomios!$E$5*A17^3)</f>
        <v>155.094850033231</v>
      </c>
      <c r="D17" s="31" t="n">
        <f aca="false">Polinomios!$F$6+12*(Polinomios!$G$6-Polinomios!$F$6)/40</f>
        <v>292.5</v>
      </c>
      <c r="E17" s="31" t="n">
        <f aca="false">(Polinomios!$B$6+Polinomios!$C$6*D17+Polinomios!$D$6*D17^2+Polinomios!$E$6*D17^3)</f>
        <v>214.020802191555</v>
      </c>
      <c r="G17" s="31" t="n">
        <f aca="false">Polinomios!$F$7+12*(Polinomios!$G$7-Polinomios!$F$7)/40</f>
        <v>331.2</v>
      </c>
      <c r="H17" s="31" t="n">
        <f aca="false">(Polinomios!$B$7+Polinomios!$C$7*G17+Polinomios!$D$7*G17^2+Polinomios!$E$7*G17^3)</f>
        <v>263.999846895565</v>
      </c>
      <c r="J17" s="31" t="n">
        <f aca="false">Polinomios!$F$8+12*(Polinomios!$G$8-Polinomios!$F$8)/40</f>
        <v>339</v>
      </c>
      <c r="K17" s="31" t="n">
        <f aca="false">(Polinomios!$B$8+Polinomios!$C$8*J17+Polinomios!$D$8*J17^2+Polinomios!$E$8*J17^3)</f>
        <v>310.167366909444</v>
      </c>
      <c r="M17" s="31" t="n">
        <f aca="false">(Polinomios!$C$12+Polinomios!$D$12*N17+Polinomios!$E$12*N17^2+Polinomios!$F$12*N17^3)</f>
        <v>328.615734496124</v>
      </c>
      <c r="N17" s="31" t="n">
        <f aca="false">Polinomios!$G$12+12*(Polinomios!$H$12-Polinomios!$G$12)/20</f>
        <v>219.344</v>
      </c>
      <c r="P17" s="31" t="n">
        <f aca="false">(Polinomios!$C$13+Polinomios!$D$13*Q17+Polinomios!$E$13*Q17^2+Polinomios!$F$13*Q17^3)</f>
        <v>393.832120908266</v>
      </c>
      <c r="Q17" s="31" t="n">
        <f aca="false">Polinomios!$G$13+12*(Polinomios!$H$13-Polinomios!$G$13)/20</f>
        <v>216.622</v>
      </c>
      <c r="S17" s="31" t="n">
        <f aca="false">(Polinomios!$C$14+Polinomios!$D$14*T17+Polinomios!$E$14*T17^2+Polinomios!$F$14*T17^3)</f>
        <v>466.634530660847</v>
      </c>
      <c r="T17" s="31" t="n">
        <f aca="false">Polinomios!$G$14+12*(Polinomios!$H$14-Polinomios!$G$14)/20</f>
        <v>212.868</v>
      </c>
      <c r="V17" s="31" t="n">
        <f aca="false">(Polinomios!$C$15+Polinomios!$D$15*W17+Polinomios!$E$15*W17^2+Polinomios!$F$15*W17^3)</f>
        <v>541.136989887109</v>
      </c>
      <c r="W17" s="31" t="n">
        <f aca="false">Polinomios!$G$15+12*(Polinomios!$H$15-Polinomios!$G$15)/20</f>
        <v>207.088</v>
      </c>
      <c r="Y17" s="31" t="n">
        <f aca="false">(Polinomios!$C$16+Polinomios!$D$16*Z17+Polinomios!$E$16*Z17^2+Polinomios!$F$16*Z17^3)</f>
        <v>604.513316439439</v>
      </c>
      <c r="Z17" s="31" t="n">
        <f aca="false">Polinomios!$G$16+12*(Polinomios!$H$16-Polinomios!$G$16)/20</f>
        <v>200.866</v>
      </c>
      <c r="AB17" s="31" t="n">
        <f aca="false">(Polinomios!$C$17+Polinomios!$D$17*AC17+Polinomios!$E$17*AC17^2+Polinomios!$F$17*AC17^3)</f>
        <v>650.625391192075</v>
      </c>
      <c r="AC17" s="31" t="n">
        <f aca="false">Polinomios!$G$17+12*(Polinomios!$H$17-Polinomios!$G$17)/20</f>
        <v>194.96</v>
      </c>
      <c r="AE17" s="31" t="n">
        <f aca="false">(Polinomios!$C$18+Polinomios!$D$18*AF17+Polinomios!$E$18*AF17^2+Polinomios!$F$18*AF17^3)</f>
        <v>716.709574802599</v>
      </c>
      <c r="AF17" s="31" t="n">
        <f aca="false">Polinomios!$G$18+12*(Polinomios!$H$18-Polinomios!$G$18)/20</f>
        <v>209.386</v>
      </c>
      <c r="AH17" s="31" t="n">
        <f aca="false">(Polinomios!$C$19+Polinomios!$D$19*AI17+Polinomios!$E$19*AI17^2+Polinomios!$F$19*AI17^3)</f>
        <v>846.698465949396</v>
      </c>
      <c r="AI17" s="31" t="n">
        <f aca="false">Polinomios!$G$19+12*(Polinomios!$H$19-Polinomios!$G$19)/20</f>
        <v>194.236</v>
      </c>
      <c r="AK17" s="31" t="n">
        <f aca="false">(Polinomios!$C$20+Polinomios!$D$20*AL17+Polinomios!$E$20*AL17^2+Polinomios!$F$20*AL17^3)</f>
        <v>845.114436704049</v>
      </c>
      <c r="AL17" s="31" t="n">
        <f aca="false">Polinomios!$G$20+12*(Polinomios!$H$20-Polinomios!$G$20)/20</f>
        <v>170.014</v>
      </c>
      <c r="AN17" s="31" t="n">
        <f aca="false">(Polinomios!$C$21+Polinomios!$D$21*AO17+Polinomios!$E$21*AO17^2+Polinomios!$F$21*AO17^3)</f>
        <v>872.808448073344</v>
      </c>
      <c r="AO17" s="31" t="n">
        <f aca="false">Polinomios!$G$21+12*(Polinomios!$H$21-Polinomios!$G$21)/20</f>
        <v>162.074</v>
      </c>
      <c r="AQ17" s="31" t="n">
        <f aca="false">(Polinomios!$C$22+Polinomios!$D$22*AR17+Polinomios!$E$22*AR17^2+Polinomios!$F$22*AR17^3)</f>
        <v>918.831428649424</v>
      </c>
      <c r="AR17" s="31" t="n">
        <f aca="false">Polinomios!$G$22+12*(Polinomios!$H$22-Polinomios!$G$22)/20</f>
        <v>150.818</v>
      </c>
      <c r="AT17" s="31" t="n">
        <f aca="false">(Polinomios!$C$23+Polinomios!$D$23*AU17+Polinomios!$E$23*AU17^2+Polinomios!$F$23*AU17^3)</f>
        <v>965.75712469705</v>
      </c>
      <c r="AU17" s="31" t="n">
        <f aca="false">Polinomios!$G$23+12*(Polinomios!$H$23-Polinomios!$G$23)/20</f>
        <v>135.898</v>
      </c>
      <c r="AW17" s="31" t="n">
        <f aca="false">(Polinomios!$C$24+Polinomios!$D$24*AX17+Polinomios!$E$24*AX17^2+Polinomios!$F$24*AX17^3)</f>
        <v>1005.51028883063</v>
      </c>
      <c r="AX17" s="31" t="n">
        <f aca="false">Polinomios!$G$24+12*(Polinomios!$H$24-Polinomios!$G$24)/20</f>
        <v>122.222</v>
      </c>
    </row>
    <row r="18" customFormat="false" ht="15" hidden="false" customHeight="false" outlineLevel="0" collapsed="false">
      <c r="A18" s="31" t="n">
        <f aca="false">Polinomios!$F$5+13*(Polinomios!$G$5-Polinomios!$F$5)/40</f>
        <v>276.25</v>
      </c>
      <c r="B18" s="31" t="n">
        <f aca="false">(Polinomios!$B$5+Polinomios!$C$5*A18+Polinomios!$D$5*A18^2+Polinomios!$E$5*A18^3)</f>
        <v>154.505907573523</v>
      </c>
      <c r="D18" s="31" t="n">
        <f aca="false">Polinomios!$F$6+13*(Polinomios!$G$6-Polinomios!$F$6)/40</f>
        <v>316.875</v>
      </c>
      <c r="E18" s="31" t="n">
        <f aca="false">(Polinomios!$B$6+Polinomios!$C$6*D18+Polinomios!$D$6*D18^2+Polinomios!$E$6*D18^3)</f>
        <v>213.345942204285</v>
      </c>
      <c r="G18" s="31" t="n">
        <f aca="false">Polinomios!$F$7+13*(Polinomios!$G$7-Polinomios!$F$7)/40</f>
        <v>358.8</v>
      </c>
      <c r="H18" s="31" t="n">
        <f aca="false">(Polinomios!$B$7+Polinomios!$C$7*G18+Polinomios!$D$7*G18^2+Polinomios!$E$7*G18^3)</f>
        <v>263.063651234236</v>
      </c>
      <c r="J18" s="31" t="n">
        <f aca="false">Polinomios!$F$8+13*(Polinomios!$G$8-Polinomios!$F$8)/40</f>
        <v>367.25</v>
      </c>
      <c r="K18" s="31" t="n">
        <f aca="false">(Polinomios!$B$8+Polinomios!$C$8*J18+Polinomios!$D$8*J18^2+Polinomios!$E$8*J18^3)</f>
        <v>309.05193841172</v>
      </c>
      <c r="M18" s="31" t="n">
        <f aca="false">(Polinomios!$C$12+Polinomios!$D$12*N18+Polinomios!$E$12*N18^2+Polinomios!$F$12*N18^3)</f>
        <v>332.06691128005</v>
      </c>
      <c r="N18" s="31" t="n">
        <f aca="false">Polinomios!$G$12+13*(Polinomios!$H$12-Polinomios!$G$12)/20</f>
        <v>224.8035</v>
      </c>
      <c r="P18" s="31" t="n">
        <f aca="false">(Polinomios!$C$13+Polinomios!$D$13*Q18+Polinomios!$E$13*Q18^2+Polinomios!$F$13*Q18^3)</f>
        <v>397.049888718016</v>
      </c>
      <c r="Q18" s="31" t="n">
        <f aca="false">Polinomios!$G$13+13*(Polinomios!$H$13-Polinomios!$G$13)/20</f>
        <v>222.093</v>
      </c>
      <c r="S18" s="31" t="n">
        <f aca="false">(Polinomios!$C$14+Polinomios!$D$14*T18+Polinomios!$E$14*T18^2+Polinomios!$F$14*T18^3)</f>
        <v>470.447629422739</v>
      </c>
      <c r="T18" s="31" t="n">
        <f aca="false">Polinomios!$G$14+13*(Polinomios!$H$14-Polinomios!$G$14)/20</f>
        <v>218.302</v>
      </c>
      <c r="V18" s="31" t="n">
        <f aca="false">(Polinomios!$C$15+Polinomios!$D$15*W18+Polinomios!$E$15*W18^2+Polinomios!$F$15*W18^3)</f>
        <v>546.130160701241</v>
      </c>
      <c r="W18" s="31" t="n">
        <f aca="false">Polinomios!$G$15+13*(Polinomios!$H$15-Polinomios!$G$15)/20</f>
        <v>212.452</v>
      </c>
      <c r="Y18" s="31" t="n">
        <f aca="false">(Polinomios!$C$16+Polinomios!$D$16*Z18+Polinomios!$E$16*Z18^2+Polinomios!$F$16*Z18^3)</f>
        <v>609.993924362977</v>
      </c>
      <c r="Z18" s="31" t="n">
        <f aca="false">Polinomios!$G$16+13*(Polinomios!$H$16-Polinomios!$G$16)/20</f>
        <v>206.184</v>
      </c>
      <c r="AB18" s="31" t="n">
        <f aca="false">(Polinomios!$C$17+Polinomios!$D$17*AC18+Polinomios!$E$17*AC18^2+Polinomios!$F$17*AC18^3)</f>
        <v>655.642650531822</v>
      </c>
      <c r="AC18" s="31" t="n">
        <f aca="false">Polinomios!$G$17+13*(Polinomios!$H$17-Polinomios!$G$17)/20</f>
        <v>200.36</v>
      </c>
      <c r="AE18" s="31" t="n">
        <f aca="false">(Polinomios!$C$18+Polinomios!$D$18*AF18+Polinomios!$E$18*AF18^2+Polinomios!$F$18*AF18^3)</f>
        <v>719.017766742668</v>
      </c>
      <c r="AF18" s="31" t="n">
        <f aca="false">Polinomios!$G$18+13*(Polinomios!$H$18-Polinomios!$G$18)/20</f>
        <v>212.5015</v>
      </c>
      <c r="AH18" s="31" t="n">
        <f aca="false">(Polinomios!$C$19+Polinomios!$D$19*AI18+Polinomios!$E$19*AI18^2+Polinomios!$F$19*AI18^3)</f>
        <v>852.33548428861</v>
      </c>
      <c r="AI18" s="31" t="n">
        <f aca="false">Polinomios!$G$19+13*(Polinomios!$H$19-Polinomios!$G$19)/20</f>
        <v>196.089</v>
      </c>
      <c r="AK18" s="31" t="n">
        <f aca="false">(Polinomios!$C$20+Polinomios!$D$20*AL18+Polinomios!$E$20*AL18^2+Polinomios!$F$20*AL18^3)</f>
        <v>854.017279297952</v>
      </c>
      <c r="AL18" s="31" t="n">
        <f aca="false">Polinomios!$G$20+13*(Polinomios!$H$20-Polinomios!$G$20)/20</f>
        <v>173.7785</v>
      </c>
      <c r="AN18" s="31" t="n">
        <f aca="false">(Polinomios!$C$21+Polinomios!$D$21*AO18+Polinomios!$E$21*AO18^2+Polinomios!$F$21*AO18^3)</f>
        <v>883.489476363861</v>
      </c>
      <c r="AO18" s="31" t="n">
        <f aca="false">Polinomios!$G$21+13*(Polinomios!$H$21-Polinomios!$G$21)/20</f>
        <v>165.9035</v>
      </c>
      <c r="AQ18" s="31" t="n">
        <f aca="false">(Polinomios!$C$22+Polinomios!$D$22*AR18+Polinomios!$E$22*AR18^2+Polinomios!$F$22*AR18^3)</f>
        <v>930.319771297833</v>
      </c>
      <c r="AR18" s="31" t="n">
        <f aca="false">Polinomios!$G$22+13*(Polinomios!$H$22-Polinomios!$G$22)/20</f>
        <v>154.3445</v>
      </c>
      <c r="AT18" s="31" t="n">
        <f aca="false">(Polinomios!$C$23+Polinomios!$D$23*AU18+Polinomios!$E$23*AU18^2+Polinomios!$F$23*AU18^3)</f>
        <v>977.909210072291</v>
      </c>
      <c r="AU18" s="31" t="n">
        <f aca="false">Polinomios!$G$23+13*(Polinomios!$H$23-Polinomios!$G$23)/20</f>
        <v>138.9295</v>
      </c>
      <c r="AW18" s="31" t="n">
        <f aca="false">(Polinomios!$C$24+Polinomios!$D$24*AX18+Polinomios!$E$24*AX18^2+Polinomios!$F$24*AX18^3)</f>
        <v>1018.28420581232</v>
      </c>
      <c r="AX18" s="31" t="n">
        <f aca="false">Polinomios!$G$24+13*(Polinomios!$H$24-Polinomios!$G$24)/20</f>
        <v>125.258</v>
      </c>
    </row>
    <row r="19" customFormat="false" ht="15" hidden="false" customHeight="false" outlineLevel="0" collapsed="false">
      <c r="A19" s="31" t="n">
        <f aca="false">Polinomios!$F$5+14*(Polinomios!$G$5-Polinomios!$F$5)/40</f>
        <v>297.5</v>
      </c>
      <c r="B19" s="31" t="n">
        <f aca="false">(Polinomios!$B$5+Polinomios!$C$5*A19+Polinomios!$D$5*A19^2+Polinomios!$E$5*A19^3)</f>
        <v>153.846425667787</v>
      </c>
      <c r="D19" s="31" t="n">
        <f aca="false">Polinomios!$F$6+14*(Polinomios!$G$6-Polinomios!$F$6)/40</f>
        <v>341.25</v>
      </c>
      <c r="E19" s="31" t="n">
        <f aca="false">(Polinomios!$B$6+Polinomios!$C$6*D19+Polinomios!$D$6*D19^2+Polinomios!$E$6*D19^3)</f>
        <v>212.585073009347</v>
      </c>
      <c r="G19" s="31" t="n">
        <f aca="false">Polinomios!$F$7+14*(Polinomios!$G$7-Polinomios!$F$7)/40</f>
        <v>386.4</v>
      </c>
      <c r="H19" s="31" t="n">
        <f aca="false">(Polinomios!$B$7+Polinomios!$C$7*G19+Polinomios!$D$7*G19^2+Polinomios!$E$7*G19^3)</f>
        <v>262.027798757122</v>
      </c>
      <c r="J19" s="31" t="n">
        <f aca="false">Polinomios!$F$8+14*(Polinomios!$G$8-Polinomios!$F$8)/40</f>
        <v>395.5</v>
      </c>
      <c r="K19" s="31" t="n">
        <f aca="false">(Polinomios!$B$8+Polinomios!$C$8*J19+Polinomios!$D$8*J19^2+Polinomios!$E$8*J19^3)</f>
        <v>307.816377811188</v>
      </c>
      <c r="M19" s="31" t="n">
        <f aca="false">(Polinomios!$C$12+Polinomios!$D$12*N19+Polinomios!$E$12*N19^2+Polinomios!$F$12*N19^3)</f>
        <v>335.656000502784</v>
      </c>
      <c r="N19" s="31" t="n">
        <f aca="false">Polinomios!$G$12+14*(Polinomios!$H$12-Polinomios!$G$12)/20</f>
        <v>230.263</v>
      </c>
      <c r="P19" s="31" t="n">
        <f aca="false">(Polinomios!$C$13+Polinomios!$D$13*Q19+Polinomios!$E$13*Q19^2+Polinomios!$F$13*Q19^3)</f>
        <v>400.454755168441</v>
      </c>
      <c r="Q19" s="31" t="n">
        <f aca="false">Polinomios!$G$13+14*(Polinomios!$H$13-Polinomios!$G$13)/20</f>
        <v>227.564</v>
      </c>
      <c r="S19" s="31" t="n">
        <f aca="false">(Polinomios!$C$14+Polinomios!$D$14*T19+Polinomios!$E$14*T19^2+Polinomios!$F$14*T19^3)</f>
        <v>474.377023231671</v>
      </c>
      <c r="T19" s="31" t="n">
        <f aca="false">Polinomios!$G$14+14*(Polinomios!$H$14-Polinomios!$G$14)/20</f>
        <v>223.736</v>
      </c>
      <c r="V19" s="31" t="n">
        <f aca="false">(Polinomios!$C$15+Polinomios!$D$15*W19+Polinomios!$E$15*W19^2+Polinomios!$F$15*W19^3)</f>
        <v>551.33028751274</v>
      </c>
      <c r="W19" s="31" t="n">
        <f aca="false">Polinomios!$G$15+14*(Polinomios!$H$15-Polinomios!$G$15)/20</f>
        <v>217.816</v>
      </c>
      <c r="Y19" s="31" t="n">
        <f aca="false">(Polinomios!$C$16+Polinomios!$D$16*Z19+Polinomios!$E$16*Z19^2+Polinomios!$F$16*Z19^3)</f>
        <v>615.710943687798</v>
      </c>
      <c r="Z19" s="31" t="n">
        <f aca="false">Polinomios!$G$16+14*(Polinomios!$H$16-Polinomios!$G$16)/20</f>
        <v>211.502</v>
      </c>
      <c r="AB19" s="31" t="n">
        <f aca="false">(Polinomios!$C$17+Polinomios!$D$17*AC19+Polinomios!$E$17*AC19^2+Polinomios!$F$17*AC19^3)</f>
        <v>660.984751358392</v>
      </c>
      <c r="AC19" s="31" t="n">
        <f aca="false">Polinomios!$G$17+14*(Polinomios!$H$17-Polinomios!$G$17)/20</f>
        <v>205.76</v>
      </c>
      <c r="AE19" s="31" t="n">
        <f aca="false">(Polinomios!$C$18+Polinomios!$D$18*AF19+Polinomios!$E$18*AF19^2+Polinomios!$F$18*AF19^3)</f>
        <v>721.360571316773</v>
      </c>
      <c r="AF19" s="31" t="n">
        <f aca="false">Polinomios!$G$18+14*(Polinomios!$H$18-Polinomios!$G$18)/20</f>
        <v>215.617</v>
      </c>
      <c r="AH19" s="31" t="n">
        <f aca="false">(Polinomios!$C$19+Polinomios!$D$19*AI19+Polinomios!$E$19*AI19^2+Polinomios!$F$19*AI19^3)</f>
        <v>857.433349148555</v>
      </c>
      <c r="AI19" s="31" t="n">
        <f aca="false">Polinomios!$G$19+14*(Polinomios!$H$19-Polinomios!$G$19)/20</f>
        <v>197.942</v>
      </c>
      <c r="AK19" s="31" t="n">
        <f aca="false">(Polinomios!$C$20+Polinomios!$D$20*AL19+Polinomios!$E$20*AL19^2+Polinomios!$F$20*AL19^3)</f>
        <v>862.625793544471</v>
      </c>
      <c r="AL19" s="31" t="n">
        <f aca="false">Polinomios!$G$20+14*(Polinomios!$H$20-Polinomios!$G$20)/20</f>
        <v>177.543</v>
      </c>
      <c r="AN19" s="31" t="n">
        <f aca="false">(Polinomios!$C$21+Polinomios!$D$21*AO19+Polinomios!$E$21*AO19^2+Polinomios!$F$21*AO19^3)</f>
        <v>893.78850495792</v>
      </c>
      <c r="AO19" s="31" t="n">
        <f aca="false">Polinomios!$G$21+14*(Polinomios!$H$21-Polinomios!$G$21)/20</f>
        <v>169.733</v>
      </c>
      <c r="AQ19" s="31" t="n">
        <f aca="false">(Polinomios!$C$22+Polinomios!$D$22*AR19+Polinomios!$E$22*AR19^2+Polinomios!$F$22*AR19^3)</f>
        <v>941.430338027706</v>
      </c>
      <c r="AR19" s="31" t="n">
        <f aca="false">Polinomios!$G$22+14*(Polinomios!$H$22-Polinomios!$G$22)/20</f>
        <v>157.871</v>
      </c>
      <c r="AT19" s="31" t="n">
        <f aca="false">(Polinomios!$C$23+Polinomios!$D$23*AU19+Polinomios!$E$23*AU19^2+Polinomios!$F$23*AU19^3)</f>
        <v>989.966260746334</v>
      </c>
      <c r="AU19" s="31" t="n">
        <f aca="false">Polinomios!$G$23+14*(Polinomios!$H$23-Polinomios!$G$23)/20</f>
        <v>141.961</v>
      </c>
      <c r="AW19" s="31" t="n">
        <f aca="false">(Polinomios!$C$24+Polinomios!$D$24*AX19+Polinomios!$E$24*AX19^2+Polinomios!$F$24*AX19^3)</f>
        <v>1030.96141289892</v>
      </c>
      <c r="AX19" s="31" t="n">
        <f aca="false">Polinomios!$G$24+14*(Polinomios!$H$24-Polinomios!$G$24)/20</f>
        <v>128.294</v>
      </c>
    </row>
    <row r="20" customFormat="false" ht="15" hidden="false" customHeight="false" outlineLevel="0" collapsed="false">
      <c r="A20" s="31" t="n">
        <f aca="false">Polinomios!$F$5+15*(Polinomios!$G$5-Polinomios!$F$5)/40</f>
        <v>318.75</v>
      </c>
      <c r="B20" s="31" t="n">
        <f aca="false">(Polinomios!$B$5+Polinomios!$C$5*A20+Polinomios!$D$5*A20^2+Polinomios!$E$5*A20^3)</f>
        <v>153.108471239901</v>
      </c>
      <c r="D20" s="31" t="n">
        <f aca="false">Polinomios!$F$6+15*(Polinomios!$G$6-Polinomios!$F$6)/40</f>
        <v>365.625</v>
      </c>
      <c r="E20" s="31" t="n">
        <f aca="false">(Polinomios!$B$6+Polinomios!$C$6*D20+Polinomios!$D$6*D20^2+Polinomios!$E$6*D20^3)</f>
        <v>211.725655001299</v>
      </c>
      <c r="G20" s="31" t="n">
        <f aca="false">Polinomios!$F$7+15*(Polinomios!$G$7-Polinomios!$F$7)/40</f>
        <v>414</v>
      </c>
      <c r="H20" s="31" t="n">
        <f aca="false">(Polinomios!$B$7+Polinomios!$C$7*G20+Polinomios!$D$7*G20^2+Polinomios!$E$7*G20^3)</f>
        <v>260.875933676708</v>
      </c>
      <c r="J20" s="31" t="n">
        <f aca="false">Polinomios!$F$8+15*(Polinomios!$G$8-Polinomios!$F$8)/40</f>
        <v>423.75</v>
      </c>
      <c r="K20" s="31" t="n">
        <f aca="false">(Polinomios!$B$8+Polinomios!$C$8*J20+Polinomios!$D$8*J20^2+Polinomios!$E$8*J20^3)</f>
        <v>306.441105340509</v>
      </c>
      <c r="M20" s="31" t="n">
        <f aca="false">(Polinomios!$C$12+Polinomios!$D$12*N20+Polinomios!$E$12*N20^2+Polinomios!$F$12*N20^3)</f>
        <v>339.383002164324</v>
      </c>
      <c r="N20" s="31" t="n">
        <f aca="false">Polinomios!$G$12+15*(Polinomios!$H$12-Polinomios!$G$12)/20</f>
        <v>235.7225</v>
      </c>
      <c r="P20" s="31" t="n">
        <f aca="false">(Polinomios!$C$13+Polinomios!$D$13*Q20+Polinomios!$E$13*Q20^2+Polinomios!$F$13*Q20^3)</f>
        <v>404.046720259541</v>
      </c>
      <c r="Q20" s="31" t="n">
        <f aca="false">Polinomios!$G$13+15*(Polinomios!$H$13-Polinomios!$G$13)/20</f>
        <v>233.035</v>
      </c>
      <c r="S20" s="31" t="n">
        <f aca="false">(Polinomios!$C$14+Polinomios!$D$14*T20+Polinomios!$E$14*T20^2+Polinomios!$F$14*T20^3)</f>
        <v>478.422712087641</v>
      </c>
      <c r="T20" s="31" t="n">
        <f aca="false">Polinomios!$G$14+15*(Polinomios!$H$14-Polinomios!$G$14)/20</f>
        <v>229.17</v>
      </c>
      <c r="V20" s="31" t="n">
        <f aca="false">(Polinomios!$C$15+Polinomios!$D$15*W20+Polinomios!$E$15*W20^2+Polinomios!$F$15*W20^3)</f>
        <v>556.737370321605</v>
      </c>
      <c r="W20" s="31" t="n">
        <f aca="false">Polinomios!$G$15+15*(Polinomios!$H$15-Polinomios!$G$15)/20</f>
        <v>223.18</v>
      </c>
      <c r="Y20" s="31" t="n">
        <f aca="false">(Polinomios!$C$16+Polinomios!$D$16*Z20+Polinomios!$E$16*Z20^2+Polinomios!$F$16*Z20^3)</f>
        <v>621.664374413902</v>
      </c>
      <c r="Z20" s="31" t="n">
        <f aca="false">Polinomios!$G$16+15*(Polinomios!$H$16-Polinomios!$G$16)/20</f>
        <v>216.82</v>
      </c>
      <c r="AB20" s="31" t="n">
        <f aca="false">(Polinomios!$C$17+Polinomios!$D$17*AC20+Polinomios!$E$17*AC20^2+Polinomios!$F$17*AC20^3)</f>
        <v>666.651693671783</v>
      </c>
      <c r="AC20" s="31" t="n">
        <f aca="false">Polinomios!$G$17+15*(Polinomios!$H$17-Polinomios!$G$17)/20</f>
        <v>211.16</v>
      </c>
      <c r="AE20" s="31" t="n">
        <f aca="false">(Polinomios!$C$18+Polinomios!$D$18*AF20+Polinomios!$E$18*AF20^2+Polinomios!$F$18*AF20^3)</f>
        <v>723.613569328911</v>
      </c>
      <c r="AF20" s="31" t="n">
        <f aca="false">Polinomios!$G$18+15*(Polinomios!$H$18-Polinomios!$G$18)/20</f>
        <v>218.7325</v>
      </c>
      <c r="AH20" s="31" t="n">
        <f aca="false">(Polinomios!$C$19+Polinomios!$D$19*AI20+Polinomios!$E$19*AI20^2+Polinomios!$F$19*AI20^3)</f>
        <v>861.992060529231</v>
      </c>
      <c r="AI20" s="31" t="n">
        <f aca="false">Polinomios!$G$19+15*(Polinomios!$H$19-Polinomios!$G$19)/20</f>
        <v>199.795</v>
      </c>
      <c r="AK20" s="31" t="n">
        <f aca="false">(Polinomios!$C$20+Polinomios!$D$20*AL20+Polinomios!$E$20*AL20^2+Polinomios!$F$20*AL20^3)</f>
        <v>871.108154205097</v>
      </c>
      <c r="AL20" s="31" t="n">
        <f aca="false">Polinomios!$G$20+15*(Polinomios!$H$20-Polinomios!$G$20)/20</f>
        <v>181.3075</v>
      </c>
      <c r="AN20" s="31" t="n">
        <f aca="false">(Polinomios!$C$21+Polinomios!$D$21*AO20+Polinomios!$E$21*AO20^2+Polinomios!$F$21*AO20^3)</f>
        <v>903.723033408275</v>
      </c>
      <c r="AO20" s="31" t="n">
        <f aca="false">Polinomios!$G$21+15*(Polinomios!$H$21-Polinomios!$G$21)/20</f>
        <v>173.5625</v>
      </c>
      <c r="AQ20" s="31" t="n">
        <f aca="false">(Polinomios!$C$22+Polinomios!$D$22*AR20+Polinomios!$E$22*AR20^2+Polinomios!$F$22*AR20^3)</f>
        <v>952.168075126368</v>
      </c>
      <c r="AR20" s="31" t="n">
        <f aca="false">Polinomios!$G$22+15*(Polinomios!$H$22-Polinomios!$G$22)/20</f>
        <v>161.3975</v>
      </c>
      <c r="AT20" s="31" t="n">
        <f aca="false">(Polinomios!$C$23+Polinomios!$D$23*AU20+Polinomios!$E$23*AU20^2+Polinomios!$F$23*AU20^3)</f>
        <v>1001.98242533241</v>
      </c>
      <c r="AU20" s="31" t="n">
        <f aca="false">Polinomios!$G$23+15*(Polinomios!$H$23-Polinomios!$G$23)/20</f>
        <v>144.9925</v>
      </c>
      <c r="AW20" s="31" t="n">
        <f aca="false">(Polinomios!$C$24+Polinomios!$D$24*AX20+Polinomios!$E$24*AX20^2+Polinomios!$F$24*AX20^3)</f>
        <v>1043.5255151735</v>
      </c>
      <c r="AX20" s="31" t="n">
        <f aca="false">Polinomios!$G$24+15*(Polinomios!$H$24-Polinomios!$G$24)/20</f>
        <v>131.33</v>
      </c>
    </row>
    <row r="21" customFormat="false" ht="15" hidden="false" customHeight="false" outlineLevel="0" collapsed="false">
      <c r="A21" s="31" t="n">
        <f aca="false">Polinomios!$F$5+16*(Polinomios!$G$5-Polinomios!$F$5)/40</f>
        <v>340</v>
      </c>
      <c r="B21" s="31" t="n">
        <f aca="false">(Polinomios!$B$5+Polinomios!$C$5*A21+Polinomios!$D$5*A21^2+Polinomios!$E$5*A21^3)</f>
        <v>152.284111213742</v>
      </c>
      <c r="D21" s="31" t="n">
        <f aca="false">Polinomios!$F$6+16*(Polinomios!$G$6-Polinomios!$F$6)/40</f>
        <v>390</v>
      </c>
      <c r="E21" s="31" t="n">
        <f aca="false">(Polinomios!$B$6+Polinomios!$C$6*D21+Polinomios!$D$6*D21^2+Polinomios!$E$6*D21^3)</f>
        <v>210.755148574699</v>
      </c>
      <c r="G21" s="31" t="n">
        <f aca="false">Polinomios!$F$7+16*(Polinomios!$G$7-Polinomios!$F$7)/40</f>
        <v>441.6</v>
      </c>
      <c r="H21" s="31" t="n">
        <f aca="false">(Polinomios!$B$7+Polinomios!$C$7*G21+Polinomios!$D$7*G21^2+Polinomios!$E$7*G21^3)</f>
        <v>259.591700205474</v>
      </c>
      <c r="J21" s="31" t="n">
        <f aca="false">Polinomios!$F$8+16*(Polinomios!$G$8-Polinomios!$F$8)/40</f>
        <v>452</v>
      </c>
      <c r="K21" s="31" t="n">
        <f aca="false">(Polinomios!$B$8+Polinomios!$C$8*J21+Polinomios!$D$8*J21^2+Polinomios!$E$8*J21^3)</f>
        <v>304.906541232344</v>
      </c>
      <c r="M21" s="31" t="n">
        <f aca="false">(Polinomios!$C$12+Polinomios!$D$12*N21+Polinomios!$E$12*N21^2+Polinomios!$F$12*N21^3)</f>
        <v>343.247916264671</v>
      </c>
      <c r="N21" s="31" t="n">
        <f aca="false">Polinomios!$G$12+16*(Polinomios!$H$12-Polinomios!$G$12)/20</f>
        <v>241.182</v>
      </c>
      <c r="P21" s="31" t="n">
        <f aca="false">(Polinomios!$C$13+Polinomios!$D$13*Q21+Polinomios!$E$13*Q21^2+Polinomios!$F$13*Q21^3)</f>
        <v>407.825783991315</v>
      </c>
      <c r="Q21" s="31" t="n">
        <f aca="false">Polinomios!$G$13+16*(Polinomios!$H$13-Polinomios!$G$13)/20</f>
        <v>238.506</v>
      </c>
      <c r="S21" s="31" t="n">
        <f aca="false">(Polinomios!$C$14+Polinomios!$D$14*T21+Polinomios!$E$14*T21^2+Polinomios!$F$14*T21^3)</f>
        <v>482.584695990651</v>
      </c>
      <c r="T21" s="31" t="n">
        <f aca="false">Polinomios!$G$14+16*(Polinomios!$H$14-Polinomios!$G$14)/20</f>
        <v>234.604</v>
      </c>
      <c r="V21" s="31" t="n">
        <f aca="false">(Polinomios!$C$15+Polinomios!$D$15*W21+Polinomios!$E$15*W21^2+Polinomios!$F$15*W21^3)</f>
        <v>562.351409127838</v>
      </c>
      <c r="W21" s="31" t="n">
        <f aca="false">Polinomios!$G$15+16*(Polinomios!$H$15-Polinomios!$G$15)/20</f>
        <v>228.544</v>
      </c>
      <c r="Y21" s="31" t="n">
        <f aca="false">(Polinomios!$C$16+Polinomios!$D$16*Z21+Polinomios!$E$16*Z21^2+Polinomios!$F$16*Z21^3)</f>
        <v>627.85421654129</v>
      </c>
      <c r="Z21" s="31" t="n">
        <f aca="false">Polinomios!$G$16+16*(Polinomios!$H$16-Polinomios!$G$16)/20</f>
        <v>222.138</v>
      </c>
      <c r="AB21" s="31" t="n">
        <f aca="false">(Polinomios!$C$17+Polinomios!$D$17*AC21+Polinomios!$E$17*AC21^2+Polinomios!$F$17*AC21^3)</f>
        <v>672.643477471996</v>
      </c>
      <c r="AC21" s="31" t="n">
        <f aca="false">Polinomios!$G$17+16*(Polinomios!$H$17-Polinomios!$G$17)/20</f>
        <v>216.56</v>
      </c>
      <c r="AE21" s="31" t="n">
        <f aca="false">(Polinomios!$C$18+Polinomios!$D$18*AF21+Polinomios!$E$18*AF21^2+Polinomios!$F$18*AF21^3)</f>
        <v>725.652341583083</v>
      </c>
      <c r="AF21" s="31" t="n">
        <f aca="false">Polinomios!$G$18+16*(Polinomios!$H$18-Polinomios!$G$18)/20</f>
        <v>221.848</v>
      </c>
      <c r="AH21" s="31" t="n">
        <f aca="false">(Polinomios!$C$19+Polinomios!$D$19*AI21+Polinomios!$E$19*AI21^2+Polinomios!$F$19*AI21^3)</f>
        <v>866.011618430638</v>
      </c>
      <c r="AI21" s="31" t="n">
        <f aca="false">Polinomios!$G$19+16*(Polinomios!$H$19-Polinomios!$G$19)/20</f>
        <v>201.648</v>
      </c>
      <c r="AK21" s="31" t="n">
        <f aca="false">(Polinomios!$C$20+Polinomios!$D$20*AL21+Polinomios!$E$20*AL21^2+Polinomios!$F$20*AL21^3)</f>
        <v>879.632536041322</v>
      </c>
      <c r="AL21" s="31" t="n">
        <f aca="false">Polinomios!$G$20+16*(Polinomios!$H$20-Polinomios!$G$20)/20</f>
        <v>185.072</v>
      </c>
      <c r="AN21" s="31" t="n">
        <f aca="false">(Polinomios!$C$21+Polinomios!$D$21*AO21+Polinomios!$E$21*AO21^2+Polinomios!$F$21*AO21^3)</f>
        <v>913.310561267678</v>
      </c>
      <c r="AO21" s="31" t="n">
        <f aca="false">Polinomios!$G$21+16*(Polinomios!$H$21-Polinomios!$G$21)/20</f>
        <v>177.392</v>
      </c>
      <c r="AQ21" s="31" t="n">
        <f aca="false">(Polinomios!$C$22+Polinomios!$D$22*AR21+Polinomios!$E$22*AR21^2+Polinomios!$F$22*AR21^3)</f>
        <v>962.537928881144</v>
      </c>
      <c r="AR21" s="31" t="n">
        <f aca="false">Polinomios!$G$22+16*(Polinomios!$H$22-Polinomios!$G$22)/20</f>
        <v>164.924</v>
      </c>
      <c r="AT21" s="31" t="n">
        <f aca="false">(Polinomios!$C$23+Polinomios!$D$23*AU21+Polinomios!$E$23*AU21^2+Polinomios!$F$23*AU21^3)</f>
        <v>1014.01185244374</v>
      </c>
      <c r="AU21" s="31" t="n">
        <f aca="false">Polinomios!$G$23+16*(Polinomios!$H$23-Polinomios!$G$23)/20</f>
        <v>148.024</v>
      </c>
      <c r="AW21" s="31" t="n">
        <f aca="false">(Polinomios!$C$24+Polinomios!$D$24*AX21+Polinomios!$E$24*AX21^2+Polinomios!$F$24*AX21^3)</f>
        <v>1055.96011771912</v>
      </c>
      <c r="AX21" s="31" t="n">
        <f aca="false">Polinomios!$G$24+16*(Polinomios!$H$24-Polinomios!$G$24)/20</f>
        <v>134.366</v>
      </c>
    </row>
    <row r="22" customFormat="false" ht="15" hidden="false" customHeight="false" outlineLevel="0" collapsed="false">
      <c r="A22" s="31" t="n">
        <f aca="false">Polinomios!$F$5+17*(Polinomios!$G$5-Polinomios!$F$5)/40</f>
        <v>361.25</v>
      </c>
      <c r="B22" s="31" t="n">
        <f aca="false">(Polinomios!$B$5+Polinomios!$C$5*A22+Polinomios!$D$5*A22^2+Polinomios!$E$5*A22^3)</f>
        <v>151.365412513184</v>
      </c>
      <c r="D22" s="31" t="n">
        <f aca="false">Polinomios!$F$6+17*(Polinomios!$G$6-Polinomios!$F$6)/40</f>
        <v>414.375</v>
      </c>
      <c r="E22" s="31" t="n">
        <f aca="false">(Polinomios!$B$6+Polinomios!$C$6*D22+Polinomios!$D$6*D22^2+Polinomios!$E$6*D22^3)</f>
        <v>209.661014124104</v>
      </c>
      <c r="G22" s="31" t="n">
        <f aca="false">Polinomios!$F$7+17*(Polinomios!$G$7-Polinomios!$F$7)/40</f>
        <v>469.2</v>
      </c>
      <c r="H22" s="31" t="n">
        <f aca="false">(Polinomios!$B$7+Polinomios!$C$7*G22+Polinomios!$D$7*G22^2+Polinomios!$E$7*G22^3)</f>
        <v>258.158742555906</v>
      </c>
      <c r="J22" s="31" t="n">
        <f aca="false">Polinomios!$F$8+17*(Polinomios!$G$8-Polinomios!$F$8)/40</f>
        <v>480.25</v>
      </c>
      <c r="K22" s="31" t="n">
        <f aca="false">(Polinomios!$B$8+Polinomios!$C$8*J22+Polinomios!$D$8*J22^2+Polinomios!$E$8*J22^3)</f>
        <v>303.193105719355</v>
      </c>
      <c r="M22" s="31" t="n">
        <f aca="false">(Polinomios!$C$12+Polinomios!$D$12*N22+Polinomios!$E$12*N22^2+Polinomios!$F$12*N22^3)</f>
        <v>347.250742803826</v>
      </c>
      <c r="N22" s="31" t="n">
        <f aca="false">Polinomios!$G$12+17*(Polinomios!$H$12-Polinomios!$G$12)/20</f>
        <v>246.6415</v>
      </c>
      <c r="P22" s="31" t="n">
        <f aca="false">(Polinomios!$C$13+Polinomios!$D$13*Q22+Polinomios!$E$13*Q22^2+Polinomios!$F$13*Q22^3)</f>
        <v>411.791946363764</v>
      </c>
      <c r="Q22" s="31" t="n">
        <f aca="false">Polinomios!$G$13+17*(Polinomios!$H$13-Polinomios!$G$13)/20</f>
        <v>243.977</v>
      </c>
      <c r="S22" s="31" t="n">
        <f aca="false">(Polinomios!$C$14+Polinomios!$D$14*T22+Polinomios!$E$14*T22^2+Polinomios!$F$14*T22^3)</f>
        <v>486.8629749407</v>
      </c>
      <c r="T22" s="31" t="n">
        <f aca="false">Polinomios!$G$14+17*(Polinomios!$H$14-Polinomios!$G$14)/20</f>
        <v>240.038</v>
      </c>
      <c r="V22" s="31" t="n">
        <f aca="false">(Polinomios!$C$15+Polinomios!$D$15*W22+Polinomios!$E$15*W22^2+Polinomios!$F$15*W22^3)</f>
        <v>568.172403931436</v>
      </c>
      <c r="W22" s="31" t="n">
        <f aca="false">Polinomios!$G$15+17*(Polinomios!$H$15-Polinomios!$G$15)/20</f>
        <v>233.908</v>
      </c>
      <c r="Y22" s="31" t="n">
        <f aca="false">(Polinomios!$C$16+Polinomios!$D$16*Z22+Polinomios!$E$16*Z22^2+Polinomios!$F$16*Z22^3)</f>
        <v>634.280470069961</v>
      </c>
      <c r="Z22" s="31" t="n">
        <f aca="false">Polinomios!$G$16+17*(Polinomios!$H$16-Polinomios!$G$16)/20</f>
        <v>227.456</v>
      </c>
      <c r="AB22" s="31" t="n">
        <f aca="false">(Polinomios!$C$17+Polinomios!$D$17*AC22+Polinomios!$E$17*AC22^2+Polinomios!$F$17*AC22^3)</f>
        <v>678.960102759031</v>
      </c>
      <c r="AC22" s="31" t="n">
        <f aca="false">Polinomios!$G$17+17*(Polinomios!$H$17-Polinomios!$G$17)/20</f>
        <v>221.96</v>
      </c>
      <c r="AE22" s="31" t="n">
        <f aca="false">(Polinomios!$C$18+Polinomios!$D$18*AF22+Polinomios!$E$18*AF22^2+Polinomios!$F$18*AF22^3)</f>
        <v>727.352468883298</v>
      </c>
      <c r="AF22" s="31" t="n">
        <f aca="false">Polinomios!$G$18+17*(Polinomios!$H$18-Polinomios!$G$18)/20</f>
        <v>224.9635</v>
      </c>
      <c r="AH22" s="31" t="n">
        <f aca="false">(Polinomios!$C$19+Polinomios!$D$19*AI22+Polinomios!$E$19*AI22^2+Polinomios!$F$19*AI22^3)</f>
        <v>869.492022852777</v>
      </c>
      <c r="AI22" s="31" t="n">
        <f aca="false">Polinomios!$G$19+17*(Polinomios!$H$19-Polinomios!$G$19)/20</f>
        <v>203.501</v>
      </c>
      <c r="AK22" s="31" t="n">
        <f aca="false">(Polinomios!$C$20+Polinomios!$D$20*AL22+Polinomios!$E$20*AL22^2+Polinomios!$F$20*AL22^3)</f>
        <v>888.367113814638</v>
      </c>
      <c r="AL22" s="31" t="n">
        <f aca="false">Polinomios!$G$20+17*(Polinomios!$H$20-Polinomios!$G$20)/20</f>
        <v>188.8365</v>
      </c>
      <c r="AN22" s="31" t="n">
        <f aca="false">(Polinomios!$C$21+Polinomios!$D$21*AO22+Polinomios!$E$21*AO22^2+Polinomios!$F$21*AO22^3)</f>
        <v>922.56858808888</v>
      </c>
      <c r="AO22" s="31" t="n">
        <f aca="false">Polinomios!$G$21+17*(Polinomios!$H$21-Polinomios!$G$21)/20</f>
        <v>181.2215</v>
      </c>
      <c r="AQ22" s="31" t="n">
        <f aca="false">(Polinomios!$C$22+Polinomios!$D$22*AR22+Polinomios!$E$22*AR22^2+Polinomios!$F$22*AR22^3)</f>
        <v>972.544845579361</v>
      </c>
      <c r="AR22" s="31" t="n">
        <f aca="false">Polinomios!$G$22+17*(Polinomios!$H$22-Polinomios!$G$22)/20</f>
        <v>168.4505</v>
      </c>
      <c r="AT22" s="31" t="n">
        <f aca="false">(Polinomios!$C$23+Polinomios!$D$23*AU22+Polinomios!$E$23*AU22^2+Polinomios!$F$23*AU22^3)</f>
        <v>1026.10869069356</v>
      </c>
      <c r="AU22" s="31" t="n">
        <f aca="false">Polinomios!$G$23+17*(Polinomios!$H$23-Polinomios!$G$23)/20</f>
        <v>151.0555</v>
      </c>
      <c r="AW22" s="31" t="n">
        <f aca="false">(Polinomios!$C$24+Polinomios!$D$24*AX22+Polinomios!$E$24*AX22^2+Polinomios!$F$24*AX22^3)</f>
        <v>1068.24882561882</v>
      </c>
      <c r="AX22" s="31" t="n">
        <f aca="false">Polinomios!$G$24+17*(Polinomios!$H$24-Polinomios!$G$24)/20</f>
        <v>137.402</v>
      </c>
    </row>
    <row r="23" customFormat="false" ht="15" hidden="false" customHeight="false" outlineLevel="0" collapsed="false">
      <c r="A23" s="31" t="n">
        <f aca="false">Polinomios!$F$5+18*(Polinomios!$G$5-Polinomios!$F$5)/40</f>
        <v>382.5</v>
      </c>
      <c r="B23" s="31" t="n">
        <f aca="false">(Polinomios!$B$5+Polinomios!$C$5*A23+Polinomios!$D$5*A23^2+Polinomios!$E$5*A23^3)</f>
        <v>150.344442062106</v>
      </c>
      <c r="D23" s="31" t="n">
        <f aca="false">Polinomios!$F$6+18*(Polinomios!$G$6-Polinomios!$F$6)/40</f>
        <v>438.75</v>
      </c>
      <c r="E23" s="31" t="n">
        <f aca="false">(Polinomios!$B$6+Polinomios!$C$6*D23+Polinomios!$D$6*D23^2+Polinomios!$E$6*D23^3)</f>
        <v>208.430712044072</v>
      </c>
      <c r="G23" s="31" t="n">
        <f aca="false">Polinomios!$F$7+18*(Polinomios!$G$7-Polinomios!$F$7)/40</f>
        <v>496.8</v>
      </c>
      <c r="H23" s="31" t="n">
        <f aca="false">(Polinomios!$B$7+Polinomios!$C$7*G23+Polinomios!$D$7*G23^2+Polinomios!$E$7*G23^3)</f>
        <v>256.560704940485</v>
      </c>
      <c r="J23" s="31" t="n">
        <f aca="false">Polinomios!$F$8+18*(Polinomios!$G$8-Polinomios!$F$8)/40</f>
        <v>508.5</v>
      </c>
      <c r="K23" s="31" t="n">
        <f aca="false">(Polinomios!$B$8+Polinomios!$C$8*J23+Polinomios!$D$8*J23^2+Polinomios!$E$8*J23^3)</f>
        <v>301.281219034202</v>
      </c>
      <c r="M23" s="31" t="n">
        <f aca="false">(Polinomios!$C$12+Polinomios!$D$12*N23+Polinomios!$E$12*N23^2+Polinomios!$F$12*N23^3)</f>
        <v>351.391481781787</v>
      </c>
      <c r="N23" s="31" t="n">
        <f aca="false">Polinomios!$G$12+18*(Polinomios!$H$12-Polinomios!$G$12)/20</f>
        <v>252.101</v>
      </c>
      <c r="P23" s="31" t="n">
        <f aca="false">(Polinomios!$C$13+Polinomios!$D$13*Q23+Polinomios!$E$13*Q23^2+Polinomios!$F$13*Q23^3)</f>
        <v>415.945207376888</v>
      </c>
      <c r="Q23" s="31" t="n">
        <f aca="false">Polinomios!$G$13+18*(Polinomios!$H$13-Polinomios!$G$13)/20</f>
        <v>249.448</v>
      </c>
      <c r="S23" s="31" t="n">
        <f aca="false">(Polinomios!$C$14+Polinomios!$D$14*T23+Polinomios!$E$14*T23^2+Polinomios!$F$14*T23^3)</f>
        <v>491.257548937788</v>
      </c>
      <c r="T23" s="31" t="n">
        <f aca="false">Polinomios!$G$14+18*(Polinomios!$H$14-Polinomios!$G$14)/20</f>
        <v>245.472</v>
      </c>
      <c r="V23" s="31" t="n">
        <f aca="false">(Polinomios!$C$15+Polinomios!$D$15*W23+Polinomios!$E$15*W23^2+Polinomios!$F$15*W23^3)</f>
        <v>574.200354732402</v>
      </c>
      <c r="W23" s="31" t="n">
        <f aca="false">Polinomios!$G$15+18*(Polinomios!$H$15-Polinomios!$G$15)/20</f>
        <v>239.272</v>
      </c>
      <c r="Y23" s="31" t="n">
        <f aca="false">(Polinomios!$C$16+Polinomios!$D$16*Z23+Polinomios!$E$16*Z23^2+Polinomios!$F$16*Z23^3)</f>
        <v>640.943134999915</v>
      </c>
      <c r="Z23" s="31" t="n">
        <f aca="false">Polinomios!$G$16+18*(Polinomios!$H$16-Polinomios!$G$16)/20</f>
        <v>232.774</v>
      </c>
      <c r="AB23" s="31" t="n">
        <f aca="false">(Polinomios!$C$17+Polinomios!$D$17*AC23+Polinomios!$E$17*AC23^2+Polinomios!$F$17*AC23^3)</f>
        <v>685.601569532888</v>
      </c>
      <c r="AC23" s="31" t="n">
        <f aca="false">Polinomios!$G$17+18*(Polinomios!$H$17-Polinomios!$G$17)/20</f>
        <v>227.36</v>
      </c>
      <c r="AE23" s="31" t="n">
        <f aca="false">(Polinomios!$C$18+Polinomios!$D$18*AF23+Polinomios!$E$18*AF23^2+Polinomios!$F$18*AF23^3)</f>
        <v>728.589532033541</v>
      </c>
      <c r="AF23" s="31" t="n">
        <f aca="false">Polinomios!$G$18+18*(Polinomios!$H$18-Polinomios!$G$18)/20</f>
        <v>228.079</v>
      </c>
      <c r="AH23" s="31" t="n">
        <f aca="false">(Polinomios!$C$19+Polinomios!$D$19*AI23+Polinomios!$E$19*AI23^2+Polinomios!$F$19*AI23^3)</f>
        <v>872.433273795647</v>
      </c>
      <c r="AI23" s="31" t="n">
        <f aca="false">Polinomios!$G$19+18*(Polinomios!$H$19-Polinomios!$G$19)/20</f>
        <v>205.354</v>
      </c>
      <c r="AK23" s="31" t="n">
        <f aca="false">(Polinomios!$C$20+Polinomios!$D$20*AL23+Polinomios!$E$20*AL23^2+Polinomios!$F$20*AL23^3)</f>
        <v>897.480062286537</v>
      </c>
      <c r="AL23" s="31" t="n">
        <f aca="false">Polinomios!$G$20+18*(Polinomios!$H$20-Polinomios!$G$20)/20</f>
        <v>192.601</v>
      </c>
      <c r="AN23" s="31" t="n">
        <f aca="false">(Polinomios!$C$21+Polinomios!$D$21*AO23+Polinomios!$E$21*AO23^2+Polinomios!$F$21*AO23^3)</f>
        <v>931.514613424634</v>
      </c>
      <c r="AO23" s="31" t="n">
        <f aca="false">Polinomios!$G$21+18*(Polinomios!$H$21-Polinomios!$G$21)/20</f>
        <v>185.051</v>
      </c>
      <c r="AQ23" s="31" t="n">
        <f aca="false">(Polinomios!$C$22+Polinomios!$D$22*AR23+Polinomios!$E$22*AR23^2+Polinomios!$F$22*AR23^3)</f>
        <v>982.193771508344</v>
      </c>
      <c r="AR23" s="31" t="n">
        <f aca="false">Polinomios!$G$22+18*(Polinomios!$H$22-Polinomios!$G$22)/20</f>
        <v>171.977</v>
      </c>
      <c r="AT23" s="31" t="n">
        <f aca="false">(Polinomios!$C$23+Polinomios!$D$23*AU23+Polinomios!$E$23*AU23^2+Polinomios!$F$23*AU23^3)</f>
        <v>1038.32708869509</v>
      </c>
      <c r="AU23" s="31" t="n">
        <f aca="false">Polinomios!$G$23+18*(Polinomios!$H$23-Polinomios!$G$23)/20</f>
        <v>154.087</v>
      </c>
      <c r="AW23" s="31" t="n">
        <f aca="false">(Polinomios!$C$24+Polinomios!$D$24*AX23+Polinomios!$E$24*AX23^2+Polinomios!$F$24*AX23^3)</f>
        <v>1080.37524395566</v>
      </c>
      <c r="AX23" s="31" t="n">
        <f aca="false">Polinomios!$G$24+18*(Polinomios!$H$24-Polinomios!$G$24)/20</f>
        <v>140.438</v>
      </c>
    </row>
    <row r="24" customFormat="false" ht="15" hidden="false" customHeight="false" outlineLevel="0" collapsed="false">
      <c r="A24" s="31" t="n">
        <f aca="false">Polinomios!$F$5+19*(Polinomios!$G$5-Polinomios!$F$5)/40</f>
        <v>403.75</v>
      </c>
      <c r="B24" s="31" t="n">
        <f aca="false">(Polinomios!$B$5+Polinomios!$C$5*A24+Polinomios!$D$5*A24^2+Polinomios!$E$5*A24^3)</f>
        <v>149.213266784382</v>
      </c>
      <c r="D24" s="31" t="n">
        <f aca="false">Polinomios!$F$6+19*(Polinomios!$G$6-Polinomios!$F$6)/40</f>
        <v>463.125</v>
      </c>
      <c r="E24" s="31" t="n">
        <f aca="false">(Polinomios!$B$6+Polinomios!$C$6*D24+Polinomios!$D$6*D24^2+Polinomios!$E$6*D24^3)</f>
        <v>207.051702729162</v>
      </c>
      <c r="G24" s="31" t="n">
        <f aca="false">Polinomios!$F$7+19*(Polinomios!$G$7-Polinomios!$F$7)/40</f>
        <v>524.4</v>
      </c>
      <c r="H24" s="31" t="n">
        <f aca="false">(Polinomios!$B$7+Polinomios!$C$7*G24+Polinomios!$D$7*G24^2+Polinomios!$E$7*G24^3)</f>
        <v>254.781231571694</v>
      </c>
      <c r="J24" s="31" t="n">
        <f aca="false">Polinomios!$F$8+19*(Polinomios!$G$8-Polinomios!$F$8)/40</f>
        <v>536.75</v>
      </c>
      <c r="K24" s="31" t="n">
        <f aca="false">(Polinomios!$B$8+Polinomios!$C$8*J24+Polinomios!$D$8*J24^2+Polinomios!$E$8*J24^3)</f>
        <v>299.151301409547</v>
      </c>
      <c r="M24" s="31" t="n">
        <f aca="false">(Polinomios!$C$12+Polinomios!$D$12*N24+Polinomios!$E$12*N24^2+Polinomios!$F$12*N24^3)</f>
        <v>355.670133198556</v>
      </c>
      <c r="N24" s="31" t="n">
        <f aca="false">Polinomios!$G$12+19*(Polinomios!$H$12-Polinomios!$G$12)/20</f>
        <v>257.5605</v>
      </c>
      <c r="P24" s="31" t="n">
        <f aca="false">(Polinomios!$C$13+Polinomios!$D$13*Q24+Polinomios!$E$13*Q24^2+Polinomios!$F$13*Q24^3)</f>
        <v>420.285567030686</v>
      </c>
      <c r="Q24" s="31" t="n">
        <f aca="false">Polinomios!$G$13+19*(Polinomios!$H$13-Polinomios!$G$13)/20</f>
        <v>254.919</v>
      </c>
      <c r="S24" s="31" t="n">
        <f aca="false">(Polinomios!$C$14+Polinomios!$D$14*T24+Polinomios!$E$14*T24^2+Polinomios!$F$14*T24^3)</f>
        <v>495.768417981915</v>
      </c>
      <c r="T24" s="31" t="n">
        <f aca="false">Polinomios!$G$14+19*(Polinomios!$H$14-Polinomios!$G$14)/20</f>
        <v>250.906</v>
      </c>
      <c r="V24" s="31" t="n">
        <f aca="false">(Polinomios!$C$15+Polinomios!$D$15*W24+Polinomios!$E$15*W24^2+Polinomios!$F$15*W24^3)</f>
        <v>580.435261530734</v>
      </c>
      <c r="W24" s="31" t="n">
        <f aca="false">Polinomios!$G$15+19*(Polinomios!$H$15-Polinomios!$G$15)/20</f>
        <v>244.636</v>
      </c>
      <c r="Y24" s="31" t="n">
        <f aca="false">(Polinomios!$C$16+Polinomios!$D$16*Z24+Polinomios!$E$16*Z24^2+Polinomios!$F$16*Z24^3)</f>
        <v>647.842211331153</v>
      </c>
      <c r="Z24" s="31" t="n">
        <f aca="false">Polinomios!$G$16+19*(Polinomios!$H$16-Polinomios!$G$16)/20</f>
        <v>238.092</v>
      </c>
      <c r="AB24" s="31" t="n">
        <f aca="false">(Polinomios!$C$17+Polinomios!$D$17*AC24+Polinomios!$E$17*AC24^2+Polinomios!$F$17*AC24^3)</f>
        <v>692.567877793566</v>
      </c>
      <c r="AC24" s="31" t="n">
        <f aca="false">Polinomios!$G$17+19*(Polinomios!$H$17-Polinomios!$G$17)/20</f>
        <v>232.76</v>
      </c>
      <c r="AE24" s="31" t="n">
        <f aca="false">(Polinomios!$C$18+Polinomios!$D$18*AF24+Polinomios!$E$18*AF24^2+Polinomios!$F$18*AF24^3)</f>
        <v>729.239111837815</v>
      </c>
      <c r="AF24" s="31" t="n">
        <f aca="false">Polinomios!$G$18+19*(Polinomios!$H$18-Polinomios!$G$18)/20</f>
        <v>231.1945</v>
      </c>
      <c r="AH24" s="31" t="n">
        <f aca="false">(Polinomios!$C$19+Polinomios!$D$19*AI24+Polinomios!$E$19*AI24^2+Polinomios!$F$19*AI24^3)</f>
        <v>874.835371259249</v>
      </c>
      <c r="AI24" s="31" t="n">
        <f aca="false">Polinomios!$G$19+19*(Polinomios!$H$19-Polinomios!$G$19)/20</f>
        <v>207.207</v>
      </c>
      <c r="AK24" s="31" t="n">
        <f aca="false">(Polinomios!$C$20+Polinomios!$D$20*AL24+Polinomios!$E$20*AL24^2+Polinomios!$F$20*AL24^3)</f>
        <v>907.139556218512</v>
      </c>
      <c r="AL24" s="31" t="n">
        <f aca="false">Polinomios!$G$20+19*(Polinomios!$H$20-Polinomios!$G$20)/20</f>
        <v>196.3655</v>
      </c>
      <c r="AN24" s="31" t="n">
        <f aca="false">(Polinomios!$C$21+Polinomios!$D$21*AO24+Polinomios!$E$21*AO24^2+Polinomios!$F$21*AO24^3)</f>
        <v>940.16613682769</v>
      </c>
      <c r="AO24" s="31" t="n">
        <f aca="false">Polinomios!$G$21+19*(Polinomios!$H$21-Polinomios!$G$21)/20</f>
        <v>188.8805</v>
      </c>
      <c r="AQ24" s="31" t="n">
        <f aca="false">(Polinomios!$C$22+Polinomios!$D$22*AR24+Polinomios!$E$22*AR24^2+Polinomios!$F$22*AR24^3)</f>
        <v>991.489652955418</v>
      </c>
      <c r="AR24" s="31" t="n">
        <f aca="false">Polinomios!$G$22+19*(Polinomios!$H$22-Polinomios!$G$22)/20</f>
        <v>175.5035</v>
      </c>
      <c r="AT24" s="31" t="n">
        <f aca="false">(Polinomios!$C$23+Polinomios!$D$23*AU24+Polinomios!$E$23*AU24^2+Polinomios!$F$23*AU24^3)</f>
        <v>1050.72119506157</v>
      </c>
      <c r="AU24" s="31" t="n">
        <f aca="false">Polinomios!$G$23+19*(Polinomios!$H$23-Polinomios!$G$23)/20</f>
        <v>157.1185</v>
      </c>
      <c r="AW24" s="31" t="n">
        <f aca="false">(Polinomios!$C$24+Polinomios!$D$24*AX24+Polinomios!$E$24*AX24^2+Polinomios!$F$24*AX24^3)</f>
        <v>1092.3229778127</v>
      </c>
      <c r="AX24" s="31" t="n">
        <f aca="false">Polinomios!$G$24+19*(Polinomios!$H$24-Polinomios!$G$24)/20</f>
        <v>143.474</v>
      </c>
    </row>
    <row r="25" customFormat="false" ht="15" hidden="false" customHeight="false" outlineLevel="0" collapsed="false">
      <c r="A25" s="31" t="n">
        <f aca="false">Polinomios!$F$5+20*(Polinomios!$G$5-Polinomios!$F$5)/40</f>
        <v>425</v>
      </c>
      <c r="B25" s="31" t="n">
        <f aca="false">(Polinomios!$B$5+Polinomios!$C$5*A25+Polinomios!$D$5*A25^2+Polinomios!$E$5*A25^3)</f>
        <v>147.96395360389</v>
      </c>
      <c r="D25" s="31" t="n">
        <f aca="false">Polinomios!$F$6+20*(Polinomios!$G$6-Polinomios!$F$6)/40</f>
        <v>487.5</v>
      </c>
      <c r="E25" s="31" t="n">
        <f aca="false">(Polinomios!$B$6+Polinomios!$C$6*D25+Polinomios!$D$6*D25^2+Polinomios!$E$6*D25^3)</f>
        <v>205.511446573931</v>
      </c>
      <c r="G25" s="31" t="n">
        <f aca="false">Polinomios!$F$7+20*(Polinomios!$G$7-Polinomios!$F$7)/40</f>
        <v>552</v>
      </c>
      <c r="H25" s="31" t="n">
        <f aca="false">(Polinomios!$B$7+Polinomios!$C$7*G25+Polinomios!$D$7*G25^2+Polinomios!$E$7*G25^3)</f>
        <v>252.803966662017</v>
      </c>
      <c r="J25" s="31" t="n">
        <f aca="false">Polinomios!$F$8+20*(Polinomios!$G$8-Polinomios!$F$8)/40</f>
        <v>565</v>
      </c>
      <c r="K25" s="31" t="n">
        <f aca="false">(Polinomios!$B$8+Polinomios!$C$8*J25+Polinomios!$D$8*J25^2+Polinomios!$E$8*J25^3)</f>
        <v>296.783773078051</v>
      </c>
      <c r="M25" s="31" t="n">
        <f aca="false">(Polinomios!$C$12+Polinomios!$D$12*N25+Polinomios!$E$12*N25^2+Polinomios!$F$12*N25^3)</f>
        <v>360.086697054132</v>
      </c>
      <c r="N25" s="31" t="n">
        <f aca="false">Polinomios!$G$12+20*(Polinomios!$H$12-Polinomios!$G$12)/20</f>
        <v>263.02</v>
      </c>
      <c r="P25" s="31" t="n">
        <f aca="false">(Polinomios!$C$13+Polinomios!$D$13*Q25+Polinomios!$E$13*Q25^2+Polinomios!$F$13*Q25^3)</f>
        <v>424.813025325159</v>
      </c>
      <c r="Q25" s="31" t="n">
        <f aca="false">Polinomios!$G$13+20*(Polinomios!$H$13-Polinomios!$G$13)/20</f>
        <v>260.39</v>
      </c>
      <c r="S25" s="31" t="n">
        <f aca="false">(Polinomios!$C$14+Polinomios!$D$14*T25+Polinomios!$E$14*T25^2+Polinomios!$F$14*T25^3)</f>
        <v>500.395582073081</v>
      </c>
      <c r="T25" s="31" t="n">
        <f aca="false">Polinomios!$G$14+20*(Polinomios!$H$14-Polinomios!$G$14)/20</f>
        <v>256.34</v>
      </c>
      <c r="V25" s="31" t="n">
        <f aca="false">(Polinomios!$C$15+Polinomios!$D$15*W25+Polinomios!$E$15*W25^2+Polinomios!$F$15*W25^3)</f>
        <v>586.877124326433</v>
      </c>
      <c r="W25" s="31" t="n">
        <f aca="false">Polinomios!$G$15+20*(Polinomios!$H$15-Polinomios!$G$15)/20</f>
        <v>250</v>
      </c>
      <c r="Y25" s="31" t="n">
        <f aca="false">(Polinomios!$C$16+Polinomios!$D$16*Z25+Polinomios!$E$16*Z25^2+Polinomios!$F$16*Z25^3)</f>
        <v>654.977699063674</v>
      </c>
      <c r="Z25" s="31" t="n">
        <f aca="false">Polinomios!$G$16+20*(Polinomios!$H$16-Polinomios!$G$16)/20</f>
        <v>243.41</v>
      </c>
      <c r="AB25" s="31" t="n">
        <f aca="false">(Polinomios!$C$17+Polinomios!$D$17*AC25+Polinomios!$E$17*AC25^2+Polinomios!$F$17*AC25^3)</f>
        <v>699.859027541067</v>
      </c>
      <c r="AC25" s="31" t="n">
        <f aca="false">Polinomios!$G$17+20*(Polinomios!$H$17-Polinomios!$G$17)/20</f>
        <v>238.16</v>
      </c>
      <c r="AE25" s="31" t="n">
        <f aca="false">(Polinomios!$C$18+Polinomios!$D$18*AF25+Polinomios!$E$18*AF25^2+Polinomios!$F$18*AF25^3)</f>
        <v>729.17678910012</v>
      </c>
      <c r="AF25" s="31" t="n">
        <f aca="false">Polinomios!$G$18+20*(Polinomios!$H$18-Polinomios!$G$18)/20</f>
        <v>234.31</v>
      </c>
      <c r="AH25" s="31" t="n">
        <f aca="false">(Polinomios!$C$19+Polinomios!$D$19*AI25+Polinomios!$E$19*AI25^2+Polinomios!$F$19*AI25^3)</f>
        <v>876.698315243582</v>
      </c>
      <c r="AI25" s="31" t="n">
        <f aca="false">Polinomios!$G$19+20*(Polinomios!$H$19-Polinomios!$G$19)/20</f>
        <v>209.06</v>
      </c>
      <c r="AK25" s="31" t="n">
        <f aca="false">(Polinomios!$C$20+Polinomios!$D$20*AL25+Polinomios!$E$20*AL25^2+Polinomios!$F$20*AL25^3)</f>
        <v>917.513770372055</v>
      </c>
      <c r="AL25" s="31" t="n">
        <f aca="false">Polinomios!$G$20+20*(Polinomios!$H$20-Polinomios!$G$20)/20</f>
        <v>200.13</v>
      </c>
      <c r="AN25" s="31" t="n">
        <f aca="false">(Polinomios!$C$21+Polinomios!$D$21*AO25+Polinomios!$E$21*AO25^2+Polinomios!$F$21*AO25^3)</f>
        <v>948.540657850801</v>
      </c>
      <c r="AO25" s="31" t="n">
        <f aca="false">Polinomios!$G$21+20*(Polinomios!$H$21-Polinomios!$G$21)/20</f>
        <v>192.71</v>
      </c>
      <c r="AQ25" s="31" t="n">
        <f aca="false">(Polinomios!$C$22+Polinomios!$D$22*AR25+Polinomios!$E$22*AR25^2+Polinomios!$F$22*AR25^3)</f>
        <v>1000.43743620791</v>
      </c>
      <c r="AR25" s="31" t="n">
        <f aca="false">Polinomios!$G$22+20*(Polinomios!$H$22-Polinomios!$G$22)/20</f>
        <v>179.03</v>
      </c>
      <c r="AT25" s="31" t="n">
        <f aca="false">(Polinomios!$C$23+Polinomios!$D$23*AU25+Polinomios!$E$23*AU25^2+Polinomios!$F$23*AU25^3)</f>
        <v>1063.34515840622</v>
      </c>
      <c r="AU25" s="31" t="n">
        <f aca="false">Polinomios!$G$23+20*(Polinomios!$H$23-Polinomios!$G$23)/20</f>
        <v>160.15</v>
      </c>
      <c r="AW25" s="31" t="n">
        <f aca="false">(Polinomios!$C$24+Polinomios!$D$24*AX25+Polinomios!$E$24*AX25^2+Polinomios!$F$24*AX25^3)</f>
        <v>1104.07563227299</v>
      </c>
      <c r="AX25" s="31" t="n">
        <f aca="false">Polinomios!$G$24+20*(Polinomios!$H$24-Polinomios!$G$24)/20</f>
        <v>146.51</v>
      </c>
    </row>
    <row r="26" customFormat="false" ht="15" hidden="false" customHeight="false" outlineLevel="0" collapsed="false">
      <c r="A26" s="31" t="n">
        <f aca="false">Polinomios!$F$5+21*(Polinomios!$G$5-Polinomios!$F$5)/40</f>
        <v>446.25</v>
      </c>
      <c r="B26" s="31" t="n">
        <f aca="false">(Polinomios!$B$5+Polinomios!$C$5*A26+Polinomios!$D$5*A26^2+Polinomios!$E$5*A26^3)</f>
        <v>146.588569444506</v>
      </c>
      <c r="D26" s="31" t="n">
        <f aca="false">Polinomios!$F$6+21*(Polinomios!$G$6-Polinomios!$F$6)/40</f>
        <v>511.875</v>
      </c>
      <c r="E26" s="31" t="n">
        <f aca="false">(Polinomios!$B$6+Polinomios!$C$6*D26+Polinomios!$D$6*D26^2+Polinomios!$E$6*D26^3)</f>
        <v>203.797403972938</v>
      </c>
      <c r="G26" s="31" t="n">
        <f aca="false">Polinomios!$F$7+21*(Polinomios!$G$7-Polinomios!$F$7)/40</f>
        <v>579.6</v>
      </c>
      <c r="H26" s="31" t="n">
        <f aca="false">(Polinomios!$B$7+Polinomios!$C$7*G26+Polinomios!$D$7*G26^2+Polinomios!$E$7*G26^3)</f>
        <v>250.612554423935</v>
      </c>
      <c r="J26" s="31" t="n">
        <f aca="false">Polinomios!$F$8+21*(Polinomios!$G$8-Polinomios!$F$8)/40</f>
        <v>593.25</v>
      </c>
      <c r="K26" s="31" t="n">
        <f aca="false">(Polinomios!$B$8+Polinomios!$C$8*J26+Polinomios!$D$8*J26^2+Polinomios!$E$8*J26^3)</f>
        <v>294.159054272376</v>
      </c>
    </row>
    <row r="27" customFormat="false" ht="15" hidden="false" customHeight="false" outlineLevel="0" collapsed="false">
      <c r="A27" s="31" t="n">
        <f aca="false">Polinomios!$F$5+22*(Polinomios!$G$5-Polinomios!$F$5)/40</f>
        <v>467.5</v>
      </c>
      <c r="B27" s="31" t="n">
        <f aca="false">(Polinomios!$B$5+Polinomios!$C$5*A27+Polinomios!$D$5*A27^2+Polinomios!$E$5*A27^3)</f>
        <v>145.079181230107</v>
      </c>
      <c r="D27" s="31" t="n">
        <f aca="false">Polinomios!$F$6+22*(Polinomios!$G$6-Polinomios!$F$6)/40</f>
        <v>536.25</v>
      </c>
      <c r="E27" s="31" t="n">
        <f aca="false">(Polinomios!$B$6+Polinomios!$C$6*D27+Polinomios!$D$6*D27^2+Polinomios!$E$6*D27^3)</f>
        <v>201.897035320739</v>
      </c>
      <c r="G27" s="31" t="n">
        <f aca="false">Polinomios!$F$7+22*(Polinomios!$G$7-Polinomios!$F$7)/40</f>
        <v>607.2</v>
      </c>
      <c r="H27" s="31" t="n">
        <f aca="false">(Polinomios!$B$7+Polinomios!$C$7*G27+Polinomios!$D$7*G27^2+Polinomios!$E$7*G27^3)</f>
        <v>248.190639069933</v>
      </c>
      <c r="J27" s="31" t="n">
        <f aca="false">Polinomios!$F$8+22*(Polinomios!$G$8-Polinomios!$F$8)/40</f>
        <v>621.5</v>
      </c>
      <c r="K27" s="31" t="n">
        <f aca="false">(Polinomios!$B$8+Polinomios!$C$8*J27+Polinomios!$D$8*J27^2+Polinomios!$E$8*J27^3)</f>
        <v>291.257565225183</v>
      </c>
    </row>
    <row r="28" customFormat="false" ht="15" hidden="false" customHeight="false" outlineLevel="0" collapsed="false">
      <c r="A28" s="31" t="n">
        <f aca="false">Polinomios!$F$5+23*(Polinomios!$G$5-Polinomios!$F$5)/40</f>
        <v>488.75</v>
      </c>
      <c r="B28" s="31" t="n">
        <f aca="false">(Polinomios!$B$5+Polinomios!$C$5*A28+Polinomios!$D$5*A28^2+Polinomios!$E$5*A28^3)</f>
        <v>143.427855884568</v>
      </c>
      <c r="D28" s="31" t="n">
        <f aca="false">Polinomios!$F$6+23*(Polinomios!$G$6-Polinomios!$F$6)/40</f>
        <v>560.625</v>
      </c>
      <c r="E28" s="31" t="n">
        <f aca="false">(Polinomios!$B$6+Polinomios!$C$6*D28+Polinomios!$D$6*D28^2+Polinomios!$E$6*D28^3)</f>
        <v>199.797801011894</v>
      </c>
      <c r="G28" s="31" t="n">
        <f aca="false">Polinomios!$F$7+23*(Polinomios!$G$7-Polinomios!$F$7)/40</f>
        <v>634.8</v>
      </c>
      <c r="H28" s="31" t="n">
        <f aca="false">(Polinomios!$B$7+Polinomios!$C$7*G28+Polinomios!$D$7*G28^2+Polinomios!$E$7*G28^3)</f>
        <v>245.521864812493</v>
      </c>
      <c r="J28" s="31" t="n">
        <f aca="false">Polinomios!$F$8+23*(Polinomios!$G$8-Polinomios!$F$8)/40</f>
        <v>649.75</v>
      </c>
      <c r="K28" s="31" t="n">
        <f aca="false">(Polinomios!$B$8+Polinomios!$C$8*J28+Polinomios!$D$8*J28^2+Polinomios!$E$8*J28^3)</f>
        <v>288.059726169132</v>
      </c>
    </row>
    <row r="29" customFormat="false" ht="15" hidden="false" customHeight="false" outlineLevel="0" collapsed="false">
      <c r="A29" s="31" t="n">
        <f aca="false">Polinomios!$F$5+24*(Polinomios!$G$5-Polinomios!$F$5)/40</f>
        <v>510</v>
      </c>
      <c r="B29" s="31" t="n">
        <f aca="false">(Polinomios!$B$5+Polinomios!$C$5*A29+Polinomios!$D$5*A29^2+Polinomios!$E$5*A29^3)</f>
        <v>141.626660331766</v>
      </c>
      <c r="D29" s="31" t="n">
        <f aca="false">Polinomios!$F$6+24*(Polinomios!$G$6-Polinomios!$F$6)/40</f>
        <v>585</v>
      </c>
      <c r="E29" s="31" t="n">
        <f aca="false">(Polinomios!$B$6+Polinomios!$C$6*D29+Polinomios!$D$6*D29^2+Polinomios!$E$6*D29^3)</f>
        <v>197.487161440959</v>
      </c>
      <c r="G29" s="31" t="n">
        <f aca="false">Polinomios!$F$7+24*(Polinomios!$G$7-Polinomios!$F$7)/40</f>
        <v>662.4</v>
      </c>
      <c r="H29" s="31" t="n">
        <f aca="false">(Polinomios!$B$7+Polinomios!$C$7*G29+Polinomios!$D$7*G29^2+Polinomios!$E$7*G29^3)</f>
        <v>242.589875864098</v>
      </c>
      <c r="J29" s="31" t="n">
        <f aca="false">Polinomios!$F$8+24*(Polinomios!$G$8-Polinomios!$F$8)/40</f>
        <v>678</v>
      </c>
      <c r="K29" s="31" t="n">
        <f aca="false">(Polinomios!$B$8+Polinomios!$C$8*J29+Polinomios!$D$8*J29^2+Polinomios!$E$8*J29^3)</f>
        <v>284.545957336886</v>
      </c>
    </row>
    <row r="30" customFormat="false" ht="15" hidden="false" customHeight="false" outlineLevel="0" collapsed="false">
      <c r="A30" s="31" t="n">
        <f aca="false">Polinomios!$F$5+25*(Polinomios!$G$5-Polinomios!$F$5)/40</f>
        <v>531.25</v>
      </c>
      <c r="B30" s="31" t="n">
        <f aca="false">(Polinomios!$B$5+Polinomios!$C$5*A30+Polinomios!$D$5*A30^2+Polinomios!$E$5*A30^3)</f>
        <v>139.667661495577</v>
      </c>
      <c r="D30" s="31" t="n">
        <f aca="false">Polinomios!$F$6+25*(Polinomios!$G$6-Polinomios!$F$6)/40</f>
        <v>609.375</v>
      </c>
      <c r="E30" s="31" t="n">
        <f aca="false">(Polinomios!$B$6+Polinomios!$C$6*D30+Polinomios!$D$6*D30^2+Polinomios!$E$6*D30^3)</f>
        <v>194.952577002494</v>
      </c>
      <c r="G30" s="31" t="n">
        <f aca="false">Polinomios!$F$7+25*(Polinomios!$G$7-Polinomios!$F$7)/40</f>
        <v>690</v>
      </c>
      <c r="H30" s="31" t="n">
        <f aca="false">(Polinomios!$B$7+Polinomios!$C$7*G30+Polinomios!$D$7*G30^2+Polinomios!$E$7*G30^3)</f>
        <v>239.378316437231</v>
      </c>
      <c r="J30" s="31" t="n">
        <f aca="false">Polinomios!$F$8+25*(Polinomios!$G$8-Polinomios!$F$8)/40</f>
        <v>706.25</v>
      </c>
      <c r="K30" s="31" t="n">
        <f aca="false">(Polinomios!$B$8+Polinomios!$C$8*J30+Polinomios!$D$8*J30^2+Polinomios!$E$8*J30^3)</f>
        <v>280.696678961105</v>
      </c>
    </row>
    <row r="31" customFormat="false" ht="15" hidden="false" customHeight="false" outlineLevel="0" collapsed="false">
      <c r="A31" s="31" t="n">
        <f aca="false">Polinomios!$F$5+26*(Polinomios!$G$5-Polinomios!$F$5)/40</f>
        <v>552.5</v>
      </c>
      <c r="B31" s="31" t="n">
        <f aca="false">(Polinomios!$B$5+Polinomios!$C$5*A31+Polinomios!$D$5*A31^2+Polinomios!$E$5*A31^3)</f>
        <v>137.542926299878</v>
      </c>
      <c r="D31" s="31" t="n">
        <f aca="false">Polinomios!$F$6+26*(Polinomios!$G$6-Polinomios!$F$6)/40</f>
        <v>633.75</v>
      </c>
      <c r="E31" s="31" t="n">
        <f aca="false">(Polinomios!$B$6+Polinomios!$C$6*D31+Polinomios!$D$6*D31^2+Polinomios!$E$6*D31^3)</f>
        <v>192.181508091055</v>
      </c>
      <c r="G31" s="31" t="n">
        <f aca="false">Polinomios!$F$7+26*(Polinomios!$G$7-Polinomios!$F$7)/40</f>
        <v>717.6</v>
      </c>
      <c r="H31" s="31" t="n">
        <f aca="false">(Polinomios!$B$7+Polinomios!$C$7*G31+Polinomios!$D$7*G31^2+Polinomios!$E$7*G31^3)</f>
        <v>235.870830744374</v>
      </c>
      <c r="J31" s="31" t="n">
        <f aca="false">Polinomios!$F$8+26*(Polinomios!$G$8-Polinomios!$F$8)/40</f>
        <v>734.5</v>
      </c>
      <c r="K31" s="31" t="n">
        <f aca="false">(Polinomios!$B$8+Polinomios!$C$8*J31+Polinomios!$D$8*J31^2+Polinomios!$E$8*J31^3)</f>
        <v>276.492311274452</v>
      </c>
    </row>
    <row r="32" customFormat="false" ht="15" hidden="false" customHeight="false" outlineLevel="0" collapsed="false">
      <c r="A32" s="31" t="n">
        <f aca="false">Polinomios!$F$5+27*(Polinomios!$G$5-Polinomios!$F$5)/40</f>
        <v>573.75</v>
      </c>
      <c r="B32" s="31" t="n">
        <f aca="false">(Polinomios!$B$5+Polinomios!$C$5*A32+Polinomios!$D$5*A32^2+Polinomios!$E$5*A32^3)</f>
        <v>135.244521668546</v>
      </c>
      <c r="D32" s="31" t="n">
        <f aca="false">Polinomios!$F$6+27*(Polinomios!$G$6-Polinomios!$F$6)/40</f>
        <v>658.125</v>
      </c>
      <c r="E32" s="31" t="n">
        <f aca="false">(Polinomios!$B$6+Polinomios!$C$6*D32+Polinomios!$D$6*D32^2+Polinomios!$E$6*D32^3)</f>
        <v>189.161415101201</v>
      </c>
      <c r="G32" s="31" t="n">
        <f aca="false">Polinomios!$F$7+27*(Polinomios!$G$7-Polinomios!$F$7)/40</f>
        <v>745.2</v>
      </c>
      <c r="H32" s="31" t="n">
        <f aca="false">(Polinomios!$B$7+Polinomios!$C$7*G32+Polinomios!$D$7*G32^2+Polinomios!$E$7*G32^3)</f>
        <v>232.051062998011</v>
      </c>
      <c r="J32" s="31" t="n">
        <f aca="false">Polinomios!$F$8+27*(Polinomios!$G$8-Polinomios!$F$8)/40</f>
        <v>762.75</v>
      </c>
      <c r="K32" s="31" t="n">
        <f aca="false">(Polinomios!$B$8+Polinomios!$C$8*J32+Polinomios!$D$8*J32^2+Polinomios!$E$8*J32^3)</f>
        <v>271.913274509586</v>
      </c>
    </row>
    <row r="33" customFormat="false" ht="15" hidden="false" customHeight="false" outlineLevel="0" collapsed="false">
      <c r="A33" s="31" t="n">
        <f aca="false">Polinomios!$F$5+28*(Polinomios!$G$5-Polinomios!$F$5)/40</f>
        <v>595</v>
      </c>
      <c r="B33" s="31" t="n">
        <f aca="false">(Polinomios!$B$5+Polinomios!$C$5*A33+Polinomios!$D$5*A33^2+Polinomios!$E$5*A33^3)</f>
        <v>132.764514525456</v>
      </c>
      <c r="D33" s="31" t="n">
        <f aca="false">Polinomios!$F$6+28*(Polinomios!$G$6-Polinomios!$F$6)/40</f>
        <v>682.5</v>
      </c>
      <c r="E33" s="31" t="n">
        <f aca="false">(Polinomios!$B$6+Polinomios!$C$6*D33+Polinomios!$D$6*D33^2+Polinomios!$E$6*D33^3)</f>
        <v>185.879758427489</v>
      </c>
      <c r="G33" s="31" t="n">
        <f aca="false">Polinomios!$F$7+28*(Polinomios!$G$7-Polinomios!$F$7)/40</f>
        <v>772.8</v>
      </c>
      <c r="H33" s="31" t="n">
        <f aca="false">(Polinomios!$B$7+Polinomios!$C$7*G33+Polinomios!$D$7*G33^2+Polinomios!$E$7*G33^3)</f>
        <v>227.902657410625</v>
      </c>
      <c r="J33" s="31" t="n">
        <f aca="false">Polinomios!$F$8+28*(Polinomios!$G$8-Polinomios!$F$8)/40</f>
        <v>791</v>
      </c>
      <c r="K33" s="31" t="n">
        <f aca="false">(Polinomios!$B$8+Polinomios!$C$8*J33+Polinomios!$D$8*J33^2+Polinomios!$E$8*J33^3)</f>
        <v>266.93998889917</v>
      </c>
    </row>
    <row r="34" customFormat="false" ht="15" hidden="false" customHeight="false" outlineLevel="0" collapsed="false">
      <c r="A34" s="31" t="n">
        <f aca="false">Polinomios!$F$5+29*(Polinomios!$G$5-Polinomios!$F$5)/40</f>
        <v>616.25</v>
      </c>
      <c r="B34" s="31" t="n">
        <f aca="false">(Polinomios!$B$5+Polinomios!$C$5*A34+Polinomios!$D$5*A34^2+Polinomios!$E$5*A34^3)</f>
        <v>130.094971794485</v>
      </c>
      <c r="D34" s="31" t="n">
        <f aca="false">Polinomios!$F$6+29*(Polinomios!$G$6-Polinomios!$F$6)/40</f>
        <v>706.875</v>
      </c>
      <c r="E34" s="31" t="n">
        <f aca="false">(Polinomios!$B$6+Polinomios!$C$6*D34+Polinomios!$D$6*D34^2+Polinomios!$E$6*D34^3)</f>
        <v>182.323998464478</v>
      </c>
      <c r="G34" s="31" t="n">
        <f aca="false">Polinomios!$F$7+29*(Polinomios!$G$7-Polinomios!$F$7)/40</f>
        <v>800.4</v>
      </c>
      <c r="H34" s="31" t="n">
        <f aca="false">(Polinomios!$B$7+Polinomios!$C$7*G34+Polinomios!$D$7*G34^2+Polinomios!$E$7*G34^3)</f>
        <v>223.409258194698</v>
      </c>
      <c r="J34" s="31" t="n">
        <f aca="false">Polinomios!$F$8+29*(Polinomios!$G$8-Polinomios!$F$8)/40</f>
        <v>819.25</v>
      </c>
      <c r="K34" s="31" t="n">
        <f aca="false">(Polinomios!$B$8+Polinomios!$C$8*J34+Polinomios!$D$8*J34^2+Polinomios!$E$8*J34^3)</f>
        <v>261.552874675864</v>
      </c>
    </row>
    <row r="35" customFormat="false" ht="15" hidden="false" customHeight="false" outlineLevel="0" collapsed="false">
      <c r="A35" s="31" t="n">
        <f aca="false">Polinomios!$F$5+30*(Polinomios!$G$5-Polinomios!$F$5)/40</f>
        <v>637.5</v>
      </c>
      <c r="B35" s="31" t="n">
        <f aca="false">(Polinomios!$B$5+Polinomios!$C$5*A35+Polinomios!$D$5*A35^2+Polinomios!$E$5*A35^3)</f>
        <v>127.22796039951</v>
      </c>
      <c r="D35" s="31" t="n">
        <f aca="false">Polinomios!$F$6+30*(Polinomios!$G$6-Polinomios!$F$6)/40</f>
        <v>731.25</v>
      </c>
      <c r="E35" s="31" t="n">
        <f aca="false">(Polinomios!$B$6+Polinomios!$C$6*D35+Polinomios!$D$6*D35^2+Polinomios!$E$6*D35^3)</f>
        <v>178.481595606726</v>
      </c>
      <c r="G35" s="31" t="n">
        <f aca="false">Polinomios!$F$7+30*(Polinomios!$G$7-Polinomios!$F$7)/40</f>
        <v>828</v>
      </c>
      <c r="H35" s="31" t="n">
        <f aca="false">(Polinomios!$B$7+Polinomios!$C$7*G35+Polinomios!$D$7*G35^2+Polinomios!$E$7*G35^3)</f>
        <v>218.554509562714</v>
      </c>
      <c r="J35" s="31" t="n">
        <f aca="false">Polinomios!$F$8+30*(Polinomios!$G$8-Polinomios!$F$8)/40</f>
        <v>847.5</v>
      </c>
      <c r="K35" s="31" t="n">
        <f aca="false">(Polinomios!$B$8+Polinomios!$C$8*J35+Polinomios!$D$8*J35^2+Polinomios!$E$8*J35^3)</f>
        <v>255.732352072331</v>
      </c>
    </row>
    <row r="36" customFormat="false" ht="15" hidden="false" customHeight="false" outlineLevel="0" collapsed="false">
      <c r="A36" s="31" t="n">
        <f aca="false">Polinomios!$F$5+31*(Polinomios!$G$5-Polinomios!$F$5)/40</f>
        <v>658.75</v>
      </c>
      <c r="B36" s="31" t="n">
        <f aca="false">(Polinomios!$B$5+Polinomios!$C$5*A36+Polinomios!$D$5*A36^2+Polinomios!$E$5*A36^3)</f>
        <v>124.155547264406</v>
      </c>
      <c r="D36" s="31" t="n">
        <f aca="false">Polinomios!$F$6+31*(Polinomios!$G$6-Polinomios!$F$6)/40</f>
        <v>755.625</v>
      </c>
      <c r="E36" s="31" t="n">
        <f aca="false">(Polinomios!$B$6+Polinomios!$C$6*D36+Polinomios!$D$6*D36^2+Polinomios!$E$6*D36^3)</f>
        <v>174.34001024879</v>
      </c>
      <c r="G36" s="31" t="n">
        <f aca="false">Polinomios!$F$7+31*(Polinomios!$G$7-Polinomios!$F$7)/40</f>
        <v>855.6</v>
      </c>
      <c r="H36" s="31" t="n">
        <f aca="false">(Polinomios!$B$7+Polinomios!$C$7*G36+Polinomios!$D$7*G36^2+Polinomios!$E$7*G36^3)</f>
        <v>213.322055727155</v>
      </c>
      <c r="J36" s="31" t="n">
        <f aca="false">Polinomios!$F$8+31*(Polinomios!$G$8-Polinomios!$F$8)/40</f>
        <v>875.75</v>
      </c>
      <c r="K36" s="31" t="n">
        <f aca="false">(Polinomios!$B$8+Polinomios!$C$8*J36+Polinomios!$D$8*J36^2+Polinomios!$E$8*J36^3)</f>
        <v>249.45884132123</v>
      </c>
    </row>
    <row r="37" customFormat="false" ht="15" hidden="false" customHeight="false" outlineLevel="0" collapsed="false">
      <c r="A37" s="31" t="n">
        <f aca="false">Polinomios!$F$5+32*(Polinomios!$G$5-Polinomios!$F$5)/40</f>
        <v>680</v>
      </c>
      <c r="B37" s="31" t="n">
        <f aca="false">(Polinomios!$B$5+Polinomios!$C$5*A37+Polinomios!$D$5*A37^2+Polinomios!$E$5*A37^3)</f>
        <v>120.86979931305</v>
      </c>
      <c r="D37" s="31" t="n">
        <f aca="false">Polinomios!$F$6+32*(Polinomios!$G$6-Polinomios!$F$6)/40</f>
        <v>780</v>
      </c>
      <c r="E37" s="31" t="n">
        <f aca="false">(Polinomios!$B$6+Polinomios!$C$6*D37+Polinomios!$D$6*D37^2+Polinomios!$E$6*D37^3)</f>
        <v>169.886702785228</v>
      </c>
      <c r="G37" s="31" t="n">
        <f aca="false">Polinomios!$F$7+32*(Polinomios!$G$7-Polinomios!$F$7)/40</f>
        <v>883.2</v>
      </c>
      <c r="H37" s="31" t="n">
        <f aca="false">(Polinomios!$B$7+Polinomios!$C$7*G37+Polinomios!$D$7*G37^2+Polinomios!$E$7*G37^3)</f>
        <v>207.695540900504</v>
      </c>
      <c r="J37" s="31" t="n">
        <f aca="false">Polinomios!$F$8+32*(Polinomios!$G$8-Polinomios!$F$8)/40</f>
        <v>904</v>
      </c>
      <c r="K37" s="31" t="n">
        <f aca="false">(Polinomios!$B$8+Polinomios!$C$8*J37+Polinomios!$D$8*J37^2+Polinomios!$E$8*J37^3)</f>
        <v>242.712762655224</v>
      </c>
    </row>
    <row r="38" customFormat="false" ht="15" hidden="false" customHeight="false" outlineLevel="0" collapsed="false">
      <c r="A38" s="31" t="n">
        <f aca="false">Polinomios!$F$5+33*(Polinomios!$G$5-Polinomios!$F$5)/40</f>
        <v>701.25</v>
      </c>
      <c r="B38" s="31" t="n">
        <f aca="false">(Polinomios!$B$5+Polinomios!$C$5*A38+Polinomios!$D$5*A38^2+Polinomios!$E$5*A38^3)</f>
        <v>117.362783469319</v>
      </c>
      <c r="D38" s="31" t="n">
        <f aca="false">Polinomios!$F$6+33*(Polinomios!$G$6-Polinomios!$F$6)/40</f>
        <v>804.375</v>
      </c>
      <c r="E38" s="31" t="n">
        <f aca="false">(Polinomios!$B$6+Polinomios!$C$6*D38+Polinomios!$D$6*D38^2+Polinomios!$E$6*D38^3)</f>
        <v>165.109133610598</v>
      </c>
      <c r="G38" s="31" t="n">
        <f aca="false">Polinomios!$F$7+33*(Polinomios!$G$7-Polinomios!$F$7)/40</f>
        <v>910.8</v>
      </c>
      <c r="H38" s="31" t="n">
        <f aca="false">(Polinomios!$B$7+Polinomios!$C$7*G38+Polinomios!$D$7*G38^2+Polinomios!$E$7*G38^3)</f>
        <v>201.658609295244</v>
      </c>
      <c r="J38" s="31" t="n">
        <f aca="false">Polinomios!$F$8+33*(Polinomios!$G$8-Polinomios!$F$8)/40</f>
        <v>932.25</v>
      </c>
      <c r="K38" s="31" t="n">
        <f aca="false">(Polinomios!$B$8+Polinomios!$C$8*J38+Polinomios!$D$8*J38^2+Polinomios!$E$8*J38^3)</f>
        <v>235.474536306974</v>
      </c>
    </row>
    <row r="39" customFormat="false" ht="15" hidden="false" customHeight="false" outlineLevel="0" collapsed="false">
      <c r="A39" s="31" t="n">
        <f aca="false">Polinomios!$F$5+34*(Polinomios!$G$5-Polinomios!$F$5)/40</f>
        <v>722.5</v>
      </c>
      <c r="B39" s="31" t="n">
        <f aca="false">(Polinomios!$B$5+Polinomios!$C$5*A39+Polinomios!$D$5*A39^2+Polinomios!$E$5*A39^3)</f>
        <v>113.626566657088</v>
      </c>
      <c r="D39" s="31" t="n">
        <f aca="false">Polinomios!$F$6+34*(Polinomios!$G$6-Polinomios!$F$6)/40</f>
        <v>828.75</v>
      </c>
      <c r="E39" s="31" t="n">
        <f aca="false">(Polinomios!$B$6+Polinomios!$C$6*D39+Polinomios!$D$6*D39^2+Polinomios!$E$6*D39^3)</f>
        <v>159.994763119458</v>
      </c>
      <c r="G39" s="31" t="n">
        <f aca="false">Polinomios!$F$7+34*(Polinomios!$G$7-Polinomios!$F$7)/40</f>
        <v>938.4</v>
      </c>
      <c r="H39" s="31" t="n">
        <f aca="false">(Polinomios!$B$7+Polinomios!$C$7*G39+Polinomios!$D$7*G39^2+Polinomios!$E$7*G39^3)</f>
        <v>195.194905123858</v>
      </c>
      <c r="J39" s="31" t="n">
        <f aca="false">Polinomios!$F$8+34*(Polinomios!$G$8-Polinomios!$F$8)/40</f>
        <v>960.5</v>
      </c>
      <c r="K39" s="31" t="n">
        <f aca="false">(Polinomios!$B$8+Polinomios!$C$8*J39+Polinomios!$D$8*J39^2+Polinomios!$E$8*J39^3)</f>
        <v>227.724582509141</v>
      </c>
    </row>
    <row r="40" customFormat="false" ht="15" hidden="false" customHeight="false" outlineLevel="0" collapsed="false">
      <c r="A40" s="31" t="n">
        <f aca="false">Polinomios!$F$5+35*(Polinomios!$G$5-Polinomios!$F$5)/40</f>
        <v>743.75</v>
      </c>
      <c r="B40" s="31" t="n">
        <f aca="false">(Polinomios!$B$5+Polinomios!$C$5*A40+Polinomios!$D$5*A40^2+Polinomios!$E$5*A40^3)</f>
        <v>109.653215800235</v>
      </c>
      <c r="D40" s="31" t="n">
        <f aca="false">Polinomios!$F$6+35*(Polinomios!$G$6-Polinomios!$F$6)/40</f>
        <v>853.125</v>
      </c>
      <c r="E40" s="31" t="n">
        <f aca="false">(Polinomios!$B$6+Polinomios!$C$6*D40+Polinomios!$D$6*D40^2+Polinomios!$E$6*D40^3)</f>
        <v>154.531051706367</v>
      </c>
      <c r="G40" s="31" t="n">
        <f aca="false">Polinomios!$F$7+35*(Polinomios!$G$7-Polinomios!$F$7)/40</f>
        <v>966</v>
      </c>
      <c r="H40" s="31" t="n">
        <f aca="false">(Polinomios!$B$7+Polinomios!$C$7*G40+Polinomios!$D$7*G40^2+Polinomios!$E$7*G40^3)</f>
        <v>188.288072598829</v>
      </c>
      <c r="J40" s="31" t="n">
        <f aca="false">Polinomios!$F$8+35*(Polinomios!$G$8-Polinomios!$F$8)/40</f>
        <v>988.75</v>
      </c>
      <c r="K40" s="31" t="n">
        <f aca="false">(Polinomios!$B$8+Polinomios!$C$8*J40+Polinomios!$D$8*J40^2+Polinomios!$E$8*J40^3)</f>
        <v>219.443321494386</v>
      </c>
    </row>
    <row r="41" customFormat="false" ht="15" hidden="false" customHeight="false" outlineLevel="0" collapsed="false">
      <c r="A41" s="31" t="n">
        <f aca="false">Polinomios!$F$5+36*(Polinomios!$G$5-Polinomios!$F$5)/40</f>
        <v>765</v>
      </c>
      <c r="B41" s="31" t="n">
        <f aca="false">(Polinomios!$B$5+Polinomios!$C$5*A41+Polinomios!$D$5*A41^2+Polinomios!$E$5*A41^3)</f>
        <v>105.434797822636</v>
      </c>
      <c r="D41" s="31" t="n">
        <f aca="false">Polinomios!$F$6+36*(Polinomios!$G$6-Polinomios!$F$6)/40</f>
        <v>877.5</v>
      </c>
      <c r="E41" s="31" t="n">
        <f aca="false">(Polinomios!$B$6+Polinomios!$C$6*D41+Polinomios!$D$6*D41^2+Polinomios!$E$6*D41^3)</f>
        <v>148.705459765881</v>
      </c>
      <c r="G41" s="31" t="n">
        <f aca="false">Polinomios!$F$7+36*(Polinomios!$G$7-Polinomios!$F$7)/40</f>
        <v>993.6</v>
      </c>
      <c r="H41" s="31" t="n">
        <f aca="false">(Polinomios!$B$7+Polinomios!$C$7*G41+Polinomios!$D$7*G41^2+Polinomios!$E$7*G41^3)</f>
        <v>180.92175593264</v>
      </c>
      <c r="J41" s="31" t="n">
        <f aca="false">Polinomios!$F$8+36*(Polinomios!$G$8-Polinomios!$F$8)/40</f>
        <v>1017</v>
      </c>
      <c r="K41" s="31" t="n">
        <f aca="false">(Polinomios!$B$8+Polinomios!$C$8*J41+Polinomios!$D$8*J41^2+Polinomios!$E$8*J41^3)</f>
        <v>210.611173495371</v>
      </c>
    </row>
    <row r="42" customFormat="false" ht="15" hidden="false" customHeight="false" outlineLevel="0" collapsed="false">
      <c r="A42" s="31" t="n">
        <f aca="false">Polinomios!$F$5+37*(Polinomios!$G$5-Polinomios!$F$5)/40</f>
        <v>786.25</v>
      </c>
      <c r="B42" s="31" t="n">
        <f aca="false">(Polinomios!$B$5+Polinomios!$C$5*A42+Polinomios!$D$5*A42^2+Polinomios!$E$5*A42^3)</f>
        <v>100.963379648167</v>
      </c>
      <c r="D42" s="31" t="n">
        <f aca="false">Polinomios!$F$6+37*(Polinomios!$G$6-Polinomios!$F$6)/40</f>
        <v>901.875</v>
      </c>
      <c r="E42" s="31" t="n">
        <f aca="false">(Polinomios!$B$6+Polinomios!$C$6*D42+Polinomios!$D$6*D42^2+Polinomios!$E$6*D42^3)</f>
        <v>142.505447692559</v>
      </c>
      <c r="G42" s="31" t="n">
        <f aca="false">Polinomios!$F$7+37*(Polinomios!$G$7-Polinomios!$F$7)/40</f>
        <v>1021.2</v>
      </c>
      <c r="H42" s="31" t="n">
        <f aca="false">(Polinomios!$B$7+Polinomios!$C$7*G42+Polinomios!$D$7*G42^2+Polinomios!$E$7*G42^3)</f>
        <v>173.079599337774</v>
      </c>
      <c r="J42" s="31" t="n">
        <f aca="false">Polinomios!$F$8+37*(Polinomios!$G$8-Polinomios!$F$8)/40</f>
        <v>1045.25</v>
      </c>
      <c r="K42" s="31" t="n">
        <f aca="false">(Polinomios!$B$8+Polinomios!$C$8*J42+Polinomios!$D$8*J42^2+Polinomios!$E$8*J42^3)</f>
        <v>201.208558744757</v>
      </c>
    </row>
    <row r="43" customFormat="false" ht="15" hidden="false" customHeight="false" outlineLevel="0" collapsed="false">
      <c r="A43" s="31" t="n">
        <f aca="false">Polinomios!$F$5+38*(Polinomios!$G$5-Polinomios!$F$5)/40</f>
        <v>807.5</v>
      </c>
      <c r="B43" s="31" t="n">
        <f aca="false">(Polinomios!$B$5+Polinomios!$C$5*A43+Polinomios!$D$5*A43^2+Polinomios!$E$5*A43^3)</f>
        <v>96.2310282007034</v>
      </c>
      <c r="D43" s="31" t="n">
        <f aca="false">Polinomios!$F$6+38*(Polinomios!$G$6-Polinomios!$F$6)/40</f>
        <v>926.25</v>
      </c>
      <c r="E43" s="31" t="n">
        <f aca="false">(Polinomios!$B$6+Polinomios!$C$6*D43+Polinomios!$D$6*D43^2+Polinomios!$E$6*D43^3)</f>
        <v>135.918475880959</v>
      </c>
      <c r="G43" s="31" t="n">
        <f aca="false">Polinomios!$F$7+38*(Polinomios!$G$7-Polinomios!$F$7)/40</f>
        <v>1048.8</v>
      </c>
      <c r="H43" s="31" t="n">
        <f aca="false">(Polinomios!$B$7+Polinomios!$C$7*G43+Polinomios!$D$7*G43^2+Polinomios!$E$7*G43^3)</f>
        <v>164.745247026714</v>
      </c>
      <c r="J43" s="31" t="n">
        <f aca="false">Polinomios!$F$8+38*(Polinomios!$G$8-Polinomios!$F$8)/40</f>
        <v>1073.5</v>
      </c>
      <c r="K43" s="31" t="n">
        <f aca="false">(Polinomios!$B$8+Polinomios!$C$8*J43+Polinomios!$D$8*J43^2+Polinomios!$E$8*J43^3)</f>
        <v>191.215897475204</v>
      </c>
    </row>
    <row r="44" customFormat="false" ht="15" hidden="false" customHeight="false" outlineLevel="0" collapsed="false">
      <c r="A44" s="31" t="n">
        <f aca="false">Polinomios!$F$5+39*(Polinomios!$G$5-Polinomios!$F$5)/40</f>
        <v>828.75</v>
      </c>
      <c r="B44" s="31" t="n">
        <f aca="false">(Polinomios!$B$5+Polinomios!$C$5*A44+Polinomios!$D$5*A44^2+Polinomios!$E$5*A44^3)</f>
        <v>91.2298104041232</v>
      </c>
      <c r="D44" s="31" t="n">
        <f aca="false">Polinomios!$F$6+39*(Polinomios!$G$6-Polinomios!$F$6)/40</f>
        <v>950.625</v>
      </c>
      <c r="E44" s="31" t="n">
        <f aca="false">(Polinomios!$B$6+Polinomios!$C$6*D44+Polinomios!$D$6*D44^2+Polinomios!$E$6*D44^3)</f>
        <v>128.932004725639</v>
      </c>
      <c r="G44" s="31" t="n">
        <f aca="false">Polinomios!$F$7+39*(Polinomios!$G$7-Polinomios!$F$7)/40</f>
        <v>1076.4</v>
      </c>
      <c r="H44" s="31" t="n">
        <f aca="false">(Polinomios!$B$7+Polinomios!$C$7*G44+Polinomios!$D$7*G44^2+Polinomios!$E$7*G44^3)</f>
        <v>155.902343211942</v>
      </c>
      <c r="J44" s="31" t="n">
        <f aca="false">Polinomios!$F$8+39*(Polinomios!$G$8-Polinomios!$F$8)/40</f>
        <v>1101.75</v>
      </c>
      <c r="K44" s="31" t="n">
        <f aca="false">(Polinomios!$B$8+Polinomios!$C$8*J44+Polinomios!$D$8*J44^2+Polinomios!$E$8*J44^3)</f>
        <v>180.613609919376</v>
      </c>
    </row>
    <row r="45" customFormat="false" ht="15" hidden="false" customHeight="false" outlineLevel="0" collapsed="false">
      <c r="A45" s="31" t="n">
        <f aca="false">Polinomios!$F$5+40*(Polinomios!$G$5-Polinomios!$F$5)/40</f>
        <v>850</v>
      </c>
      <c r="B45" s="31" t="n">
        <f aca="false">(Polinomios!$B$5+Polinomios!$C$5*A45+Polinomios!$D$5*A45^2+Polinomios!$E$5*A45^3)</f>
        <v>85.9517931823021</v>
      </c>
      <c r="D45" s="31" t="n">
        <f aca="false">Polinomios!$F$6+40*(Polinomios!$G$6-Polinomios!$F$6)/40</f>
        <v>975</v>
      </c>
      <c r="E45" s="31" t="n">
        <f aca="false">(Polinomios!$B$6+Polinomios!$C$6*D45+Polinomios!$D$6*D45^2+Polinomios!$E$6*D45^3)</f>
        <v>121.533494621156</v>
      </c>
      <c r="G45" s="31" t="n">
        <f aca="false">Polinomios!$F$7+40*(Polinomios!$G$7-Polinomios!$F$7)/40</f>
        <v>1104</v>
      </c>
      <c r="H45" s="31" t="n">
        <f aca="false">(Polinomios!$B$7+Polinomios!$C$7*G45+Polinomios!$D$7*G45^2+Polinomios!$E$7*G45^3)</f>
        <v>146.534532105941</v>
      </c>
      <c r="J45" s="31" t="n">
        <f aca="false">Polinomios!$F$8+40*(Polinomios!$G$8-Polinomios!$F$8)/40</f>
        <v>1130</v>
      </c>
      <c r="K45" s="31" t="n">
        <f aca="false">(Polinomios!$B$8+Polinomios!$C$8*J45+Polinomios!$D$8*J45^2+Polinomios!$E$8*J45^3)</f>
        <v>169.382116309932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2026-10-22T10:34:52Z</dcterms:created>
  <dc:creator>openpyxl</dc:creator>
  <dc:description/>
  <dc:language>en-US</dc:language>
  <cp:lastModifiedBy/>
  <dcterms:modified xsi:type="dcterms:W3CDTF">2026-10-22T10:34:54Z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